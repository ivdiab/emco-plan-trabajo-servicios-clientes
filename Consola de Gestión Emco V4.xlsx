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ICIO" sheetId="1" r:id="rId5"/>
    <sheet state="visible" name="Consola de Gestión Emco V4" sheetId="2" r:id="rId6"/>
    <sheet state="visible" name="Respuestas de formulario 1" sheetId="3" r:id="rId7"/>
    <sheet state="visible" name="HISTORIAL LIMPIO" sheetId="4" r:id="rId8"/>
  </sheets>
  <definedNames/>
  <calcPr/>
</workbook>
</file>

<file path=xl/sharedStrings.xml><?xml version="1.0" encoding="utf-8"?>
<sst xmlns="http://schemas.openxmlformats.org/spreadsheetml/2006/main" count="469" uniqueCount="115">
  <si>
    <t>EMCO LIMPIEZAS</t>
  </si>
  <si>
    <t>Panel de Control de Servicios</t>
  </si>
  <si>
    <t>🚨 PENDIENTES</t>
  </si>
  <si>
    <t>✅ AL DÍA</t>
  </si>
  <si>
    <t>👥 TOTAL TAREAS</t>
  </si>
  <si>
    <t>📅 AGENDA DE TRABAJO: URGENTES Y PARA HOY</t>
  </si>
  <si>
    <t>Cliente</t>
  </si>
  <si>
    <t>Servicio</t>
  </si>
  <si>
    <t>Frecuencia (Meses)</t>
  </si>
  <si>
    <t>Ultima Fecha</t>
  </si>
  <si>
    <t>Proxima Fecha Estimada</t>
  </si>
  <si>
    <t>Tipo de Inmueble</t>
  </si>
  <si>
    <t>Observaciones</t>
  </si>
  <si>
    <t>Albacete, 21</t>
  </si>
  <si>
    <t>Ventanas</t>
  </si>
  <si>
    <t>Comunidad</t>
  </si>
  <si>
    <t>Puerta</t>
  </si>
  <si>
    <t>Alicatado zaguán</t>
  </si>
  <si>
    <t>Luminaria</t>
  </si>
  <si>
    <t>Terraza</t>
  </si>
  <si>
    <t>Cuartos</t>
  </si>
  <si>
    <t>Alboraya, 10</t>
  </si>
  <si>
    <t>Arquitecto Alfaro, 25</t>
  </si>
  <si>
    <t>Pasaje</t>
  </si>
  <si>
    <t xml:space="preserve"> Puerta</t>
  </si>
  <si>
    <t>Ausias March, 105</t>
  </si>
  <si>
    <t xml:space="preserve">Ventanas </t>
  </si>
  <si>
    <t>Baja, 42</t>
  </si>
  <si>
    <t>Vitrificado</t>
  </si>
  <si>
    <t>Bellús, 1</t>
  </si>
  <si>
    <t>Bernia, 9</t>
  </si>
  <si>
    <t>Camino Alabau, 20</t>
  </si>
  <si>
    <t>Camino Alabau, 24</t>
  </si>
  <si>
    <t>Camino Alabau, 8</t>
  </si>
  <si>
    <t>Daroca, 26</t>
  </si>
  <si>
    <t>Tejado</t>
  </si>
  <si>
    <t>Duque de Calabria, 3</t>
  </si>
  <si>
    <t>Escrivá, 2</t>
  </si>
  <si>
    <t>Fuencaliente, 8</t>
  </si>
  <si>
    <t>Guillem de Anglesola, 3</t>
  </si>
  <si>
    <t>Linares, 21Bis</t>
  </si>
  <si>
    <t>Músico Cabanilles, 42</t>
  </si>
  <si>
    <t>PDBF, 1</t>
  </si>
  <si>
    <t>PDBF, 2</t>
  </si>
  <si>
    <t>Pintor Genaro Lahuerta, 45</t>
  </si>
  <si>
    <t>Plaza Dramaturgo Fausto Hernández Casajuana, 2</t>
  </si>
  <si>
    <t>San Cristóbal, 8</t>
  </si>
  <si>
    <t>Virgen del Puig, 20</t>
  </si>
  <si>
    <t>Studio Pilates Adela Ferrer</t>
  </si>
  <si>
    <t>Estudio de Pilates</t>
  </si>
  <si>
    <t>Espejos</t>
  </si>
  <si>
    <t>AEPV</t>
  </si>
  <si>
    <t>Oficina</t>
  </si>
  <si>
    <t>Centro Estética Avanzada Amparo Sánchez</t>
  </si>
  <si>
    <t>Centro de Estetica</t>
  </si>
  <si>
    <t>Persiana</t>
  </si>
  <si>
    <t>Toldo y Rotulo</t>
  </si>
  <si>
    <t>DaaS Group</t>
  </si>
  <si>
    <t>EOLAB</t>
  </si>
  <si>
    <t>FEV</t>
  </si>
  <si>
    <t>Madersan</t>
  </si>
  <si>
    <t>Mama Pottery</t>
  </si>
  <si>
    <t>Cafetería</t>
  </si>
  <si>
    <t>Scito Fundació</t>
  </si>
  <si>
    <t>Victor Barbeta - Arquitecto</t>
  </si>
  <si>
    <t>VW Group Services</t>
  </si>
  <si>
    <t>Marca temporal</t>
  </si>
  <si>
    <t>Servicio Realizado</t>
  </si>
  <si>
    <t>Fecha del Servicio</t>
  </si>
  <si>
    <t>Notas / Observaciones</t>
  </si>
  <si>
    <t>Operario</t>
  </si>
  <si>
    <t>Selecciona el Cliente</t>
  </si>
  <si>
    <t>Servicios realizados en AEPV</t>
  </si>
  <si>
    <t>Servicios realizados en Albacete, 21</t>
  </si>
  <si>
    <t>Servicios realizados en Alboraya, 10</t>
  </si>
  <si>
    <t>Servicios realizados en Arquitecto Alfaro, 25</t>
  </si>
  <si>
    <t>Servicios realizados en Ausias March, 105</t>
  </si>
  <si>
    <t>Servicios realizados en Baja, 42</t>
  </si>
  <si>
    <t>Servicios realizados en Bellús, 1</t>
  </si>
  <si>
    <t>Servicios realizados en Bernia, 9</t>
  </si>
  <si>
    <t>Servicios realizados en Camino Alabau, 20</t>
  </si>
  <si>
    <t>Servicios realizados en Camino Alabau, 24</t>
  </si>
  <si>
    <t>Servicios realizados en Camino Alabau, 8</t>
  </si>
  <si>
    <t>Servicios realizados en Centro Estética Avanzada Amparo Sánchez</t>
  </si>
  <si>
    <t>Servicios realizados en DaaS Group</t>
  </si>
  <si>
    <t>Servicios realizados en Daroca, 26</t>
  </si>
  <si>
    <t>Servicios realizados en Duque de Calabria, 3</t>
  </si>
  <si>
    <t>Servicios realizados en EOLAB</t>
  </si>
  <si>
    <t>Servicios realizados en Escrivá, 2</t>
  </si>
  <si>
    <t>Servicios realizados en FEV</t>
  </si>
  <si>
    <t>Servicios realizados en Fuencaliente, 8</t>
  </si>
  <si>
    <t>Servicios realizados en Guillem de Anglesola, 3</t>
  </si>
  <si>
    <t>Servicios realizados en Linares, 21Bis</t>
  </si>
  <si>
    <t>Servicios realizados en Madersan</t>
  </si>
  <si>
    <t>Servicios realizados en Mama Pottery</t>
  </si>
  <si>
    <t>Servicios realizados en Músico Cabanilles, 42</t>
  </si>
  <si>
    <t>Servicios realizados en PDBF, 1</t>
  </si>
  <si>
    <t>Servicios realizados en PDBF, 2</t>
  </si>
  <si>
    <t>Servicios realizados en Pintor Genaro Lahuerta, 45</t>
  </si>
  <si>
    <t>Servicios realizados en Plaza Dramaturgo Fausto Hernández Casajuana, 2</t>
  </si>
  <si>
    <t>Servicios realizados en San Cristóbal, 8</t>
  </si>
  <si>
    <t>Servicios realizados en Scito Fundació</t>
  </si>
  <si>
    <t>Servicios realizados en Studio Pilates Adela Ferrer</t>
  </si>
  <si>
    <t>Servicios realizados en VW Group Services</t>
  </si>
  <si>
    <t>Servicios realizados en Victor Barbeta - Arquitecto</t>
  </si>
  <si>
    <t>Servicios realizados en Virgen del Puig, 20</t>
  </si>
  <si>
    <t>Ventanas, Puerta Patio, Terraza, Alicatado zaguán</t>
  </si>
  <si>
    <t>Ivan</t>
  </si>
  <si>
    <t>Ventanas, Puerta Patio, Alicatado zaguán, Luminaria</t>
  </si>
  <si>
    <t>Ventanas, Puerta Patio, Alicatado zaguán</t>
  </si>
  <si>
    <t xml:space="preserve">Ivan </t>
  </si>
  <si>
    <t>Ventanas, Puerta Patio, Terraza, Alicatado zaguán, Luminaria</t>
  </si>
  <si>
    <t>Puerta Patio</t>
  </si>
  <si>
    <t>Ventanas, Puerta Patio</t>
  </si>
  <si>
    <t>Cristales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</si>
</sst>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M/yyyy"/>
    <numFmt numFmtId="165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u/>
      <color rgb="FFFFFFFF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rgb="FFD9D9D9"/>
        <bgColor rgb="FFD9D9D9"/>
      </patternFill>
    </fill>
  </fills>
  <borders count="2">
    <border/>
    <border>
      <top style="thin">
        <color rgb="FF666666"/>
      </top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vertical="center"/>
    </xf>
    <xf borderId="0" fillId="3" fontId="1" numFmtId="0" xfId="0" applyAlignment="1" applyFill="1" applyFont="1">
      <alignment readingOrder="0"/>
    </xf>
    <xf borderId="0" fillId="3" fontId="1" numFmtId="0" xfId="0" applyFont="1"/>
    <xf borderId="0" fillId="3" fontId="1" numFmtId="164" xfId="0" applyFont="1" applyNumberFormat="1"/>
    <xf borderId="0" fillId="3" fontId="1" numFmtId="164" xfId="0" applyAlignment="1" applyFont="1" applyNumberFormat="1">
      <alignment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center" readingOrder="0" vertical="center"/>
    </xf>
    <xf borderId="0" fillId="0" fontId="3" numFmtId="164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 readingOrder="0"/>
    </xf>
    <xf borderId="0" fillId="0" fontId="3" numFmtId="0" xfId="0" applyFont="1"/>
    <xf borderId="1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164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164" xfId="0" applyAlignment="1" applyFont="1" applyNumberFormat="1">
      <alignment horizontal="center" readingOrder="0" vertical="center"/>
    </xf>
    <xf borderId="0" fillId="0" fontId="3" numFmtId="0" xfId="0" applyAlignment="1" applyFont="1">
      <alignment readingOrder="0" vertical="center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2" fontId="3" numFmtId="0" xfId="0" applyAlignment="1" applyFont="1">
      <alignment horizontal="center" readingOrder="0" shrinkToFit="0" vertical="center" wrapText="1"/>
    </xf>
    <xf borderId="0" fillId="2" fontId="3" numFmtId="0" xfId="0" applyAlignment="1" applyFont="1">
      <alignment horizontal="center" readingOrder="0" shrinkToFit="0" vertical="center" wrapText="1"/>
    </xf>
    <xf borderId="0" fillId="2" fontId="3" numFmtId="0" xfId="0" applyAlignment="1" applyFont="1">
      <alignment horizontal="center" shrinkToFit="0" vertical="center" wrapText="1"/>
    </xf>
    <xf borderId="0" fillId="0" fontId="1" numFmtId="165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65" xfId="0" applyAlignment="1" applyFont="1" applyNumberFormat="1">
      <alignment readingOrder="0" shrinkToFit="0" vertical="center" wrapText="1"/>
    </xf>
    <xf borderId="0" fillId="0" fontId="1" numFmtId="14" xfId="0" applyAlignment="1" applyFont="1" applyNumberFormat="1">
      <alignment readingOrder="0" shrinkToFit="0" vertical="center" wrapText="1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shrinkToFit="0" wrapText="1"/>
    </xf>
    <xf borderId="0" fillId="0" fontId="1" numFmtId="164" xfId="0" applyAlignment="1" applyFont="1" applyNumberFormat="1">
      <alignment horizontal="center" shrinkToFit="0" wrapText="1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164" xfId="0" applyAlignment="1" applyFont="1" applyNumberFormat="1">
      <alignment horizontal="center"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165" xfId="0" applyAlignment="1" applyFont="1" applyNumberFormat="1">
      <alignment horizontal="center"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164" xfId="0" applyAlignment="1" applyFont="1" applyNumberFormat="1">
      <alignment horizontal="center"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1" numFmtId="165" xfId="0" applyAlignment="1" applyFont="1" applyNumberFormat="1">
      <alignment readingOrder="0" shrinkToFit="0" wrapText="1"/>
    </xf>
    <xf borderId="0" fillId="0" fontId="1" numFmtId="14" xfId="0" applyAlignment="1" applyFont="1" applyNumberFormat="1">
      <alignment readingOrder="0" shrinkToFit="0" wrapText="1"/>
    </xf>
    <xf borderId="0" fillId="0" fontId="1" numFmtId="165" xfId="0" applyAlignment="1" applyFont="1" applyNumberFormat="1">
      <alignment horizontal="center"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164" xfId="0" applyAlignment="1" applyFont="1" applyNumberFormat="1">
      <alignment horizontal="center"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readingOrder="0" shrinkToFit="0" wrapText="1"/>
    </xf>
    <xf borderId="0" fillId="0" fontId="1" numFmtId="165" xfId="0" applyAlignment="1" applyFont="1" applyNumberFormat="1">
      <alignment readingOrder="0" shrinkToFit="0" wrapText="1"/>
    </xf>
    <xf borderId="0" fillId="0" fontId="1" numFmtId="14" xfId="0" applyAlignment="1" applyFont="1" applyNumberFormat="1">
      <alignment readingOrder="0" shrinkToFit="0" wrapText="1"/>
    </xf>
  </cellXfs>
  <cellStyles count="1">
    <cellStyle xfId="0" name="Normal" builtinId="0"/>
  </cellStyles>
  <dxfs count="13"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3">
    <tableStyle count="4" pivot="0" name="Respuestas de formulario 1-style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3" pivot="0" name="HISTORIAL LIMPIO-style">
      <tableStyleElement dxfId="9" type="headerRow"/>
      <tableStyleElement dxfId="6" type="firstRowStripe"/>
      <tableStyleElement dxfId="10" type="secondRowStripe"/>
    </tableStyle>
    <tableStyle count="2" pivot="0" name="HISTORIAL LIMPIO-style 2">
      <tableStyleElement dxfId="6" type="firstRowStripe"/>
      <tableStyleElement dxfId="1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O18" displayName="Form_Responses" name="Form_Responses" id="1">
  <tableColumns count="41">
    <tableColumn name="Marca temporal" id="1"/>
    <tableColumn name="Cliente" id="2"/>
    <tableColumn name="Servicio Realizado" id="3"/>
    <tableColumn name="Fecha del Servicio" id="4"/>
    <tableColumn name="Notas / Observaciones" id="5"/>
    <tableColumn name="Operario" id="6"/>
    <tableColumn name="Selecciona el Cliente" id="7"/>
    <tableColumn name="Servicios realizados en AEPV" id="8"/>
    <tableColumn name="Servicios realizados en Albacete, 21" id="9"/>
    <tableColumn name="Servicios realizados en Alboraya, 10" id="10"/>
    <tableColumn name="Servicios realizados en Arquitecto Alfaro, 25" id="11"/>
    <tableColumn name="Servicios realizados en Ausias March, 105" id="12"/>
    <tableColumn name="Servicios realizados en Baja, 42" id="13"/>
    <tableColumn name="Servicios realizados en Bellús, 1" id="14"/>
    <tableColumn name="Servicios realizados en Bernia, 9" id="15"/>
    <tableColumn name="Servicios realizados en Camino Alabau, 20" id="16"/>
    <tableColumn name="Servicios realizados en Camino Alabau, 24" id="17"/>
    <tableColumn name="Servicios realizados en Camino Alabau, 8" id="18"/>
    <tableColumn name="Servicios realizados en Centro Estética Avanzada Amparo Sánchez" id="19"/>
    <tableColumn name="Servicios realizados en DaaS Group" id="20"/>
    <tableColumn name="Servicios realizados en Daroca, 26" id="21"/>
    <tableColumn name="Servicios realizados en Duque de Calabria, 3" id="22"/>
    <tableColumn name="Servicios realizados en EOLAB" id="23"/>
    <tableColumn name="Servicios realizados en Escrivá, 2" id="24"/>
    <tableColumn name="Servicios realizados en FEV" id="25"/>
    <tableColumn name="Servicios realizados en Fuencaliente, 8" id="26"/>
    <tableColumn name="Servicios realizados en Guillem de Anglesola, 3" id="27"/>
    <tableColumn name="Servicios realizados en Linares, 21Bis" id="28"/>
    <tableColumn name="Servicios realizados en Madersan" id="29"/>
    <tableColumn name="Servicios realizados en Mama Pottery" id="30"/>
    <tableColumn name="Servicios realizados en Músico Cabanilles, 42" id="31"/>
    <tableColumn name="Servicios realizados en PDBF, 1" id="32"/>
    <tableColumn name="Servicios realizados en PDBF, 2" id="33"/>
    <tableColumn name="Servicios realizados en Pintor Genaro Lahuerta, 45" id="34"/>
    <tableColumn name="Servicios realizados en Plaza Dramaturgo Fausto Hernández Casajuana, 2" id="35"/>
    <tableColumn name="Servicios realizados en San Cristóbal, 8" id="36"/>
    <tableColumn name="Servicios realizados en Scito Fundació" id="37"/>
    <tableColumn name="Servicios realizados en Studio Pilates Adela Ferrer" id="38"/>
    <tableColumn name="Servicios realizados en VW Group Services" id="39"/>
    <tableColumn name="Servicios realizados en Victor Barbeta - Arquitecto" id="40"/>
    <tableColumn name="Servicios realizados en Virgen del Puig, 20" id="41"/>
  </tableColumns>
  <tableStyleInfo name="Respuestas de formulario 1-style" showColumnStripes="0" showFirstColumn="1" showLastColumn="1" showRowStripes="1"/>
</table>
</file>

<file path=xl/tables/table2.xml><?xml version="1.0" encoding="utf-8"?>
<table xmlns="http://schemas.openxmlformats.org/spreadsheetml/2006/main" ref="A1:F17" displayName="Table_1" name="Table_1" id="2">
  <tableColumns count="6">
    <tableColumn name="Marca temporal" id="1"/>
    <tableColumn name="Cliente" id="2"/>
    <tableColumn name="Servicio Realizado" id="3"/>
    <tableColumn name="Fecha del Servicio" id="4"/>
    <tableColumn name="Notas / Observaciones" id="5"/>
    <tableColumn name="Operario" id="6"/>
  </tableColumns>
  <tableStyleInfo name="HISTORIAL LIMPIO-style" showColumnStripes="0" showFirstColumn="1" showLastColumn="1" showRowStripes="1"/>
</table>
</file>

<file path=xl/tables/table3.xml><?xml version="1.0" encoding="utf-8"?>
<table xmlns="http://schemas.openxmlformats.org/spreadsheetml/2006/main" headerRowCount="0" ref="B19:G19" displayName="Table_2" name="Table_2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HISTORIAL LIMPI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5.13"/>
    <col customWidth="1" min="4" max="4" width="25.0"/>
    <col customWidth="1" min="6" max="6" width="29.75"/>
    <col customWidth="1" min="7" max="7" width="36.0"/>
  </cols>
  <sheetData>
    <row r="1">
      <c r="E1" s="1"/>
      <c r="F1" s="1"/>
    </row>
    <row r="2">
      <c r="B2" s="2" t="s">
        <v>0</v>
      </c>
      <c r="E2" s="1"/>
      <c r="F2" s="1"/>
      <c r="G2" s="3" t="str">
        <f>HYPERLINK("https://docs.google.com/forms/d/1MWA_3QQuj04m0s62qD5rObx9A0THa2XVAx6CqyxaUEw/edit?usp=drive_web&amp;ouid=113675598808100720363", " 📝 REGISTRAR NUEVA LIMPIEZA ")</f>
        <v> 📝 REGISTRAR NUEVA LIMPIEZA </v>
      </c>
    </row>
    <row r="3">
      <c r="B3" s="2" t="s">
        <v>1</v>
      </c>
      <c r="E3" s="1"/>
      <c r="F3" s="1"/>
    </row>
    <row r="4">
      <c r="E4" s="1"/>
      <c r="F4" s="1"/>
    </row>
    <row r="5">
      <c r="B5" s="4" t="s">
        <v>2</v>
      </c>
      <c r="C5" s="5"/>
      <c r="D5" s="4" t="s">
        <v>3</v>
      </c>
      <c r="E5" s="6"/>
      <c r="F5" s="7" t="s">
        <v>4</v>
      </c>
    </row>
    <row r="6">
      <c r="B6" s="8">
        <f>COUNTIFS('Consola de Gestión Emco V4'!E2:E1000, "&lt;="&amp;TODAY(), 'Consola de Gestión Emco V4'!E2:E1000, "&lt;&gt;")</f>
        <v>25</v>
      </c>
      <c r="C6" s="8"/>
      <c r="D6" s="8">
        <f>COUNTIF('Consola de Gestión Emco V4'!E2:E1000, "&gt;"&amp;TODAY())</f>
        <v>65</v>
      </c>
      <c r="E6" s="9"/>
      <c r="F6" s="9">
        <f>COUNTA('Consola de Gestión Emco V4'!A2:A1000)</f>
        <v>124</v>
      </c>
    </row>
    <row r="7">
      <c r="E7" s="1"/>
      <c r="F7" s="1"/>
    </row>
    <row r="8">
      <c r="E8" s="1"/>
      <c r="F8" s="1"/>
    </row>
    <row r="9">
      <c r="B9" s="2" t="s">
        <v>5</v>
      </c>
      <c r="E9" s="1"/>
      <c r="F9" s="1"/>
    </row>
    <row r="10">
      <c r="E10" s="1"/>
      <c r="F10" s="1"/>
    </row>
    <row r="11">
      <c r="B11" s="10" t="str">
        <f>IFERROR(__xludf.DUMMYFUNCTION("IFERROR(SORT(FILTER('Consola de Gestión Emco V4'!A2:E1000, ARRAYFORMULA(IFERROR('Consola de Gestión Emco V4'!E2:E1000 * 1, 99999)) &lt;= TODAY()), 5, 1), ""🎉 ¡Todo al día..."")"),"Guillem de Anglesola, 3")</f>
        <v>Guillem de Anglesola, 3</v>
      </c>
      <c r="C11" s="10" t="str">
        <f>IFERROR(__xludf.DUMMYFUNCTION("""COMPUTED_VALUE"""),"Ventanas")</f>
        <v>Ventanas</v>
      </c>
      <c r="D11" s="10">
        <f>IFERROR(__xludf.DUMMYFUNCTION("""COMPUTED_VALUE"""),1.0)</f>
        <v>1</v>
      </c>
      <c r="E11" s="1">
        <f>IFERROR(__xludf.DUMMYFUNCTION("""COMPUTED_VALUE"""),45974.0)</f>
        <v>45974</v>
      </c>
      <c r="F11" s="1">
        <f>IFERROR(__xludf.DUMMYFUNCTION("""COMPUTED_VALUE"""),46004.0)</f>
        <v>46004</v>
      </c>
    </row>
    <row r="12">
      <c r="B12" s="10" t="str">
        <f>IFERROR(__xludf.DUMMYFUNCTION("""COMPUTED_VALUE"""),"Guillem de Anglesola, 3")</f>
        <v>Guillem de Anglesola, 3</v>
      </c>
      <c r="C12" s="10" t="str">
        <f>IFERROR(__xludf.DUMMYFUNCTION("""COMPUTED_VALUE"""),"Puerta")</f>
        <v>Puerta</v>
      </c>
      <c r="D12" s="10">
        <f>IFERROR(__xludf.DUMMYFUNCTION("""COMPUTED_VALUE"""),1.0)</f>
        <v>1</v>
      </c>
      <c r="E12" s="1">
        <f>IFERROR(__xludf.DUMMYFUNCTION("""COMPUTED_VALUE"""),45974.0)</f>
        <v>45974</v>
      </c>
      <c r="F12" s="1">
        <f>IFERROR(__xludf.DUMMYFUNCTION("""COMPUTED_VALUE"""),46004.0)</f>
        <v>46004</v>
      </c>
    </row>
    <row r="13">
      <c r="B13" s="10" t="str">
        <f>IFERROR(__xludf.DUMMYFUNCTION("""COMPUTED_VALUE"""),"Guillem de Anglesola, 3")</f>
        <v>Guillem de Anglesola, 3</v>
      </c>
      <c r="C13" s="10" t="str">
        <f>IFERROR(__xludf.DUMMYFUNCTION("""COMPUTED_VALUE"""),"Luminaria")</f>
        <v>Luminaria</v>
      </c>
      <c r="D13" s="10">
        <f>IFERROR(__xludf.DUMMYFUNCTION("""COMPUTED_VALUE"""),3.0)</f>
        <v>3</v>
      </c>
      <c r="E13" s="1">
        <f>IFERROR(__xludf.DUMMYFUNCTION("""COMPUTED_VALUE"""),45990.0)</f>
        <v>45990</v>
      </c>
      <c r="F13" s="1">
        <f>IFERROR(__xludf.DUMMYFUNCTION("""COMPUTED_VALUE"""),46081.0)</f>
        <v>46081</v>
      </c>
    </row>
    <row r="14">
      <c r="B14" s="10" t="str">
        <f>IFERROR(__xludf.DUMMYFUNCTION("""COMPUTED_VALUE"""),"Ausias March, 105")</f>
        <v>Ausias March, 105</v>
      </c>
      <c r="C14" s="10" t="str">
        <f>IFERROR(__xludf.DUMMYFUNCTION("""COMPUTED_VALUE"""),"Luminaria")</f>
        <v>Luminaria</v>
      </c>
      <c r="D14" s="10">
        <f>IFERROR(__xludf.DUMMYFUNCTION("""COMPUTED_VALUE"""),1.0)</f>
        <v>1</v>
      </c>
      <c r="E14" s="1">
        <f>IFERROR(__xludf.DUMMYFUNCTION("""COMPUTED_VALUE"""),46066.0)</f>
        <v>46066</v>
      </c>
      <c r="F14" s="1">
        <f>IFERROR(__xludf.DUMMYFUNCTION("""COMPUTED_VALUE"""),46094.0)</f>
        <v>46094</v>
      </c>
    </row>
    <row r="15" ht="17.25" customHeight="1">
      <c r="B15" s="10" t="str">
        <f>IFERROR(__xludf.DUMMYFUNCTION("""COMPUTED_VALUE"""),"Ausias March, 105")</f>
        <v>Ausias March, 105</v>
      </c>
      <c r="C15" s="10" t="str">
        <f>IFERROR(__xludf.DUMMYFUNCTION("""COMPUTED_VALUE"""),"Ventanas ")</f>
        <v>Ventanas </v>
      </c>
      <c r="D15" s="10">
        <f>IFERROR(__xludf.DUMMYFUNCTION("""COMPUTED_VALUE"""),1.0)</f>
        <v>1</v>
      </c>
      <c r="E15" s="1">
        <f>IFERROR(__xludf.DUMMYFUNCTION("""COMPUTED_VALUE"""),46067.0)</f>
        <v>46067</v>
      </c>
      <c r="F15" s="1">
        <f>IFERROR(__xludf.DUMMYFUNCTION("""COMPUTED_VALUE"""),46095.0)</f>
        <v>46095</v>
      </c>
    </row>
    <row r="16">
      <c r="B16" s="10" t="str">
        <f>IFERROR(__xludf.DUMMYFUNCTION("""COMPUTED_VALUE"""),"Ausias March, 105")</f>
        <v>Ausias March, 105</v>
      </c>
      <c r="C16" s="10" t="str">
        <f>IFERROR(__xludf.DUMMYFUNCTION("""COMPUTED_VALUE"""),"Puerta")</f>
        <v>Puerta</v>
      </c>
      <c r="D16" s="10">
        <f>IFERROR(__xludf.DUMMYFUNCTION("""COMPUTED_VALUE"""),1.0)</f>
        <v>1</v>
      </c>
      <c r="E16" s="1">
        <f>IFERROR(__xludf.DUMMYFUNCTION("""COMPUTED_VALUE"""),46067.0)</f>
        <v>46067</v>
      </c>
      <c r="F16" s="1">
        <f>IFERROR(__xludf.DUMMYFUNCTION("""COMPUTED_VALUE"""),46095.0)</f>
        <v>46095</v>
      </c>
    </row>
    <row r="17">
      <c r="B17" s="10" t="str">
        <f>IFERROR(__xludf.DUMMYFUNCTION("""COMPUTED_VALUE"""),"Ausias March, 105")</f>
        <v>Ausias March, 105</v>
      </c>
      <c r="C17" s="10" t="str">
        <f>IFERROR(__xludf.DUMMYFUNCTION("""COMPUTED_VALUE"""),"Terraza")</f>
        <v>Terraza</v>
      </c>
      <c r="D17" s="10">
        <f>IFERROR(__xludf.DUMMYFUNCTION("""COMPUTED_VALUE"""),1.0)</f>
        <v>1</v>
      </c>
      <c r="E17" s="1">
        <f>IFERROR(__xludf.DUMMYFUNCTION("""COMPUTED_VALUE"""),46068.0)</f>
        <v>46068</v>
      </c>
      <c r="F17" s="1">
        <f>IFERROR(__xludf.DUMMYFUNCTION("""COMPUTED_VALUE"""),46096.0)</f>
        <v>46096</v>
      </c>
    </row>
    <row r="18">
      <c r="B18" s="10" t="str">
        <f>IFERROR(__xludf.DUMMYFUNCTION("""COMPUTED_VALUE"""),"Linares, 21Bis")</f>
        <v>Linares, 21Bis</v>
      </c>
      <c r="C18" s="10" t="str">
        <f>IFERROR(__xludf.DUMMYFUNCTION("""COMPUTED_VALUE"""),"Alicatado zaguán")</f>
        <v>Alicatado zaguán</v>
      </c>
      <c r="D18" s="10">
        <f>IFERROR(__xludf.DUMMYFUNCTION("""COMPUTED_VALUE"""),1.0)</f>
        <v>1</v>
      </c>
      <c r="E18" s="1">
        <f>IFERROR(__xludf.DUMMYFUNCTION("""COMPUTED_VALUE"""),46077.0)</f>
        <v>46077</v>
      </c>
      <c r="F18" s="1">
        <f>IFERROR(__xludf.DUMMYFUNCTION("""COMPUTED_VALUE"""),46105.0)</f>
        <v>46105</v>
      </c>
    </row>
    <row r="19">
      <c r="B19" s="10" t="str">
        <f>IFERROR(__xludf.DUMMYFUNCTION("""COMPUTED_VALUE"""),"AEPV")</f>
        <v>AEPV</v>
      </c>
      <c r="C19" s="10" t="str">
        <f>IFERROR(__xludf.DUMMYFUNCTION("""COMPUTED_VALUE"""),"Ventanas")</f>
        <v>Ventanas</v>
      </c>
      <c r="D19" s="10">
        <f>IFERROR(__xludf.DUMMYFUNCTION("""COMPUTED_VALUE"""),1.0)</f>
        <v>1</v>
      </c>
      <c r="E19" s="1">
        <f>IFERROR(__xludf.DUMMYFUNCTION("""COMPUTED_VALUE"""),46080.0)</f>
        <v>46080</v>
      </c>
      <c r="F19" s="1">
        <f>IFERROR(__xludf.DUMMYFUNCTION("""COMPUTED_VALUE"""),46108.0)</f>
        <v>46108</v>
      </c>
    </row>
    <row r="20">
      <c r="B20" s="10" t="str">
        <f>IFERROR(__xludf.DUMMYFUNCTION("""COMPUTED_VALUE"""),"FEV")</f>
        <v>FEV</v>
      </c>
      <c r="C20" s="10" t="str">
        <f>IFERROR(__xludf.DUMMYFUNCTION("""COMPUTED_VALUE"""),"Ventanas")</f>
        <v>Ventanas</v>
      </c>
      <c r="D20" s="10">
        <f>IFERROR(__xludf.DUMMYFUNCTION("""COMPUTED_VALUE"""),1.0)</f>
        <v>1</v>
      </c>
      <c r="E20" s="1">
        <f>IFERROR(__xludf.DUMMYFUNCTION("""COMPUTED_VALUE"""),46080.0)</f>
        <v>46080</v>
      </c>
      <c r="F20" s="1">
        <f>IFERROR(__xludf.DUMMYFUNCTION("""COMPUTED_VALUE"""),46108.0)</f>
        <v>46108</v>
      </c>
    </row>
    <row r="21">
      <c r="B21" s="10" t="str">
        <f>IFERROR(__xludf.DUMMYFUNCTION("""COMPUTED_VALUE"""),"Daroca, 26")</f>
        <v>Daroca, 26</v>
      </c>
      <c r="C21" s="10" t="str">
        <f>IFERROR(__xludf.DUMMYFUNCTION("""COMPUTED_VALUE"""),"Tejado")</f>
        <v>Tejado</v>
      </c>
      <c r="D21" s="10">
        <f>IFERROR(__xludf.DUMMYFUNCTION("""COMPUTED_VALUE"""),1.0)</f>
        <v>1</v>
      </c>
      <c r="E21" s="1">
        <f>IFERROR(__xludf.DUMMYFUNCTION("""COMPUTED_VALUE"""),46092.0)</f>
        <v>46092</v>
      </c>
      <c r="F21" s="1">
        <f>IFERROR(__xludf.DUMMYFUNCTION("""COMPUTED_VALUE"""),46123.0)</f>
        <v>46123</v>
      </c>
    </row>
    <row r="22">
      <c r="B22" s="10" t="str">
        <f>IFERROR(__xludf.DUMMYFUNCTION("""COMPUTED_VALUE"""),"Albacete, 21")</f>
        <v>Albacete, 21</v>
      </c>
      <c r="C22" s="10" t="str">
        <f>IFERROR(__xludf.DUMMYFUNCTION("""COMPUTED_VALUE"""),"Ventanas")</f>
        <v>Ventanas</v>
      </c>
      <c r="D22" s="10">
        <f>IFERROR(__xludf.DUMMYFUNCTION("""COMPUTED_VALUE"""),1.0)</f>
        <v>1</v>
      </c>
      <c r="E22" s="1">
        <f>IFERROR(__xludf.DUMMYFUNCTION("""COMPUTED_VALUE"""),46107.0)</f>
        <v>46107</v>
      </c>
      <c r="F22" s="1">
        <f>IFERROR(__xludf.DUMMYFUNCTION("""COMPUTED_VALUE"""),46138.0)</f>
        <v>46138</v>
      </c>
    </row>
    <row r="23">
      <c r="B23" s="10" t="str">
        <f>IFERROR(__xludf.DUMMYFUNCTION("""COMPUTED_VALUE"""),"Albacete, 21")</f>
        <v>Albacete, 21</v>
      </c>
      <c r="C23" s="10" t="str">
        <f>IFERROR(__xludf.DUMMYFUNCTION("""COMPUTED_VALUE"""),"Puerta")</f>
        <v>Puerta</v>
      </c>
      <c r="D23" s="10">
        <f>IFERROR(__xludf.DUMMYFUNCTION("""COMPUTED_VALUE"""),1.0)</f>
        <v>1</v>
      </c>
      <c r="E23" s="1">
        <f>IFERROR(__xludf.DUMMYFUNCTION("""COMPUTED_VALUE"""),46107.0)</f>
        <v>46107</v>
      </c>
      <c r="F23" s="1">
        <f>IFERROR(__xludf.DUMMYFUNCTION("""COMPUTED_VALUE"""),46138.0)</f>
        <v>46138</v>
      </c>
    </row>
    <row r="24">
      <c r="B24" s="10" t="str">
        <f>IFERROR(__xludf.DUMMYFUNCTION("""COMPUTED_VALUE"""),"VW Group Services")</f>
        <v>VW Group Services</v>
      </c>
      <c r="C24" s="10" t="str">
        <f>IFERROR(__xludf.DUMMYFUNCTION("""COMPUTED_VALUE"""),"Ventanas")</f>
        <v>Ventanas</v>
      </c>
      <c r="D24" s="10">
        <f>IFERROR(__xludf.DUMMYFUNCTION("""COMPUTED_VALUE"""),2.0)</f>
        <v>2</v>
      </c>
      <c r="E24" s="1">
        <f>IFERROR(__xludf.DUMMYFUNCTION("""COMPUTED_VALUE"""),46080.0)</f>
        <v>46080</v>
      </c>
      <c r="F24" s="1">
        <f>IFERROR(__xludf.DUMMYFUNCTION("""COMPUTED_VALUE"""),46139.0)</f>
        <v>46139</v>
      </c>
    </row>
    <row r="25">
      <c r="B25" s="10" t="str">
        <f>IFERROR(__xludf.DUMMYFUNCTION("""COMPUTED_VALUE"""),"Mama Pottery")</f>
        <v>Mama Pottery</v>
      </c>
      <c r="C25" s="10" t="str">
        <f>IFERROR(__xludf.DUMMYFUNCTION("""COMPUTED_VALUE"""),"Ventanas")</f>
        <v>Ventanas</v>
      </c>
      <c r="D25" s="10">
        <f>IFERROR(__xludf.DUMMYFUNCTION("""COMPUTED_VALUE"""),0.5)</f>
        <v>0.5</v>
      </c>
      <c r="E25" s="1">
        <f>IFERROR(__xludf.DUMMYFUNCTION("""COMPUTED_VALUE"""),46136.0)</f>
        <v>46136</v>
      </c>
      <c r="F25" s="1">
        <f>IFERROR(__xludf.DUMMYFUNCTION("""COMPUTED_VALUE"""),46151.0)</f>
        <v>46151</v>
      </c>
    </row>
    <row r="26">
      <c r="B26" s="10" t="str">
        <f>IFERROR(__xludf.DUMMYFUNCTION("""COMPUTED_VALUE"""),"Arquitecto Alfaro, 25")</f>
        <v>Arquitecto Alfaro, 25</v>
      </c>
      <c r="C26" s="10" t="str">
        <f>IFERROR(__xludf.DUMMYFUNCTION("""COMPUTED_VALUE"""),"Ventanas")</f>
        <v>Ventanas</v>
      </c>
      <c r="D26" s="10">
        <f>IFERROR(__xludf.DUMMYFUNCTION("""COMPUTED_VALUE"""),2.0)</f>
        <v>2</v>
      </c>
      <c r="E26" s="1">
        <f>IFERROR(__xludf.DUMMYFUNCTION("""COMPUTED_VALUE"""),46092.0)</f>
        <v>46092</v>
      </c>
      <c r="F26" s="1">
        <f>IFERROR(__xludf.DUMMYFUNCTION("""COMPUTED_VALUE"""),46153.0)</f>
        <v>46153</v>
      </c>
    </row>
    <row r="27">
      <c r="B27" s="10" t="str">
        <f>IFERROR(__xludf.DUMMYFUNCTION("""COMPUTED_VALUE"""),"Arquitecto Alfaro, 25")</f>
        <v>Arquitecto Alfaro, 25</v>
      </c>
      <c r="C27" s="10" t="str">
        <f>IFERROR(__xludf.DUMMYFUNCTION("""COMPUTED_VALUE"""),"Alicatado zaguán")</f>
        <v>Alicatado zaguán</v>
      </c>
      <c r="D27" s="10">
        <f>IFERROR(__xludf.DUMMYFUNCTION("""COMPUTED_VALUE"""),2.0)</f>
        <v>2</v>
      </c>
      <c r="E27" s="1">
        <f>IFERROR(__xludf.DUMMYFUNCTION("""COMPUTED_VALUE"""),46092.0)</f>
        <v>46092</v>
      </c>
      <c r="F27" s="1">
        <f>IFERROR(__xludf.DUMMYFUNCTION("""COMPUTED_VALUE"""),46153.0)</f>
        <v>46153</v>
      </c>
    </row>
    <row r="28">
      <c r="B28" s="10" t="str">
        <f>IFERROR(__xludf.DUMMYFUNCTION("""COMPUTED_VALUE"""),"San Cristóbal, 8")</f>
        <v>San Cristóbal, 8</v>
      </c>
      <c r="C28" s="10" t="str">
        <f>IFERROR(__xludf.DUMMYFUNCTION("""COMPUTED_VALUE"""),"Ventanas")</f>
        <v>Ventanas</v>
      </c>
      <c r="D28" s="10">
        <f>IFERROR(__xludf.DUMMYFUNCTION("""COMPUTED_VALUE"""),2.0)</f>
        <v>2</v>
      </c>
      <c r="E28" s="1">
        <f>IFERROR(__xludf.DUMMYFUNCTION("""COMPUTED_VALUE"""),46092.0)</f>
        <v>46092</v>
      </c>
      <c r="F28" s="1">
        <f>IFERROR(__xludf.DUMMYFUNCTION("""COMPUTED_VALUE"""),46153.0)</f>
        <v>46153</v>
      </c>
    </row>
    <row r="29">
      <c r="B29" s="10" t="str">
        <f>IFERROR(__xludf.DUMMYFUNCTION("""COMPUTED_VALUE"""),"San Cristóbal, 8")</f>
        <v>San Cristóbal, 8</v>
      </c>
      <c r="C29" s="10" t="str">
        <f>IFERROR(__xludf.DUMMYFUNCTION("""COMPUTED_VALUE"""),"Puerta")</f>
        <v>Puerta</v>
      </c>
      <c r="D29" s="10">
        <f>IFERROR(__xludf.DUMMYFUNCTION("""COMPUTED_VALUE"""),2.0)</f>
        <v>2</v>
      </c>
      <c r="E29" s="1">
        <f>IFERROR(__xludf.DUMMYFUNCTION("""COMPUTED_VALUE"""),46092.0)</f>
        <v>46092</v>
      </c>
      <c r="F29" s="1">
        <f>IFERROR(__xludf.DUMMYFUNCTION("""COMPUTED_VALUE"""),46153.0)</f>
        <v>46153</v>
      </c>
    </row>
    <row r="30">
      <c r="B30" s="10" t="str">
        <f>IFERROR(__xludf.DUMMYFUNCTION("""COMPUTED_VALUE"""),"San Cristóbal, 8")</f>
        <v>San Cristóbal, 8</v>
      </c>
      <c r="C30" s="10" t="str">
        <f>IFERROR(__xludf.DUMMYFUNCTION("""COMPUTED_VALUE"""),"Alicatado zaguán")</f>
        <v>Alicatado zaguán</v>
      </c>
      <c r="D30" s="10">
        <f>IFERROR(__xludf.DUMMYFUNCTION("""COMPUTED_VALUE"""),2.0)</f>
        <v>2</v>
      </c>
      <c r="E30" s="1">
        <f>IFERROR(__xludf.DUMMYFUNCTION("""COMPUTED_VALUE"""),46092.0)</f>
        <v>46092</v>
      </c>
      <c r="F30" s="1">
        <f>IFERROR(__xludf.DUMMYFUNCTION("""COMPUTED_VALUE"""),46153.0)</f>
        <v>46153</v>
      </c>
    </row>
    <row r="31">
      <c r="B31" s="10" t="str">
        <f>IFERROR(__xludf.DUMMYFUNCTION("""COMPUTED_VALUE"""),"Virgen del Puig, 20")</f>
        <v>Virgen del Puig, 20</v>
      </c>
      <c r="C31" s="10" t="str">
        <f>IFERROR(__xludf.DUMMYFUNCTION("""COMPUTED_VALUE"""),"Ventanas")</f>
        <v>Ventanas</v>
      </c>
      <c r="D31" s="10">
        <f>IFERROR(__xludf.DUMMYFUNCTION("""COMPUTED_VALUE"""),2.0)</f>
        <v>2</v>
      </c>
      <c r="E31" s="1">
        <f>IFERROR(__xludf.DUMMYFUNCTION("""COMPUTED_VALUE"""),46092.0)</f>
        <v>46092</v>
      </c>
      <c r="F31" s="1">
        <f>IFERROR(__xludf.DUMMYFUNCTION("""COMPUTED_VALUE"""),46153.0)</f>
        <v>46153</v>
      </c>
    </row>
    <row r="32">
      <c r="B32" s="10" t="str">
        <f>IFERROR(__xludf.DUMMYFUNCTION("""COMPUTED_VALUE"""),"Virgen del Puig, 20")</f>
        <v>Virgen del Puig, 20</v>
      </c>
      <c r="C32" s="10" t="str">
        <f>IFERROR(__xludf.DUMMYFUNCTION("""COMPUTED_VALUE"""),"Puerta")</f>
        <v>Puerta</v>
      </c>
      <c r="D32" s="10">
        <f>IFERROR(__xludf.DUMMYFUNCTION("""COMPUTED_VALUE"""),2.0)</f>
        <v>2</v>
      </c>
      <c r="E32" s="1">
        <f>IFERROR(__xludf.DUMMYFUNCTION("""COMPUTED_VALUE"""),46092.0)</f>
        <v>46092</v>
      </c>
      <c r="F32" s="1">
        <f>IFERROR(__xludf.DUMMYFUNCTION("""COMPUTED_VALUE"""),46153.0)</f>
        <v>46153</v>
      </c>
    </row>
    <row r="33">
      <c r="B33" s="10" t="str">
        <f>IFERROR(__xludf.DUMMYFUNCTION("""COMPUTED_VALUE"""),"Bernia, 9")</f>
        <v>Bernia, 9</v>
      </c>
      <c r="C33" s="10" t="str">
        <f>IFERROR(__xludf.DUMMYFUNCTION("""COMPUTED_VALUE"""),"Ventanas")</f>
        <v>Ventanas</v>
      </c>
      <c r="D33" s="10">
        <f>IFERROR(__xludf.DUMMYFUNCTION("""COMPUTED_VALUE"""),3.0)</f>
        <v>3</v>
      </c>
      <c r="E33" s="1">
        <f>IFERROR(__xludf.DUMMYFUNCTION("""COMPUTED_VALUE"""),46066.0)</f>
        <v>46066</v>
      </c>
      <c r="F33" s="1">
        <f>IFERROR(__xludf.DUMMYFUNCTION("""COMPUTED_VALUE"""),46155.0)</f>
        <v>46155</v>
      </c>
    </row>
    <row r="34">
      <c r="B34" s="10" t="str">
        <f>IFERROR(__xludf.DUMMYFUNCTION("""COMPUTED_VALUE"""),"Bernia, 9")</f>
        <v>Bernia, 9</v>
      </c>
      <c r="C34" s="10" t="str">
        <f>IFERROR(__xludf.DUMMYFUNCTION("""COMPUTED_VALUE"""),"Puerta")</f>
        <v>Puerta</v>
      </c>
      <c r="D34" s="10">
        <f>IFERROR(__xludf.DUMMYFUNCTION("""COMPUTED_VALUE"""),3.0)</f>
        <v>3</v>
      </c>
      <c r="E34" s="1">
        <f>IFERROR(__xludf.DUMMYFUNCTION("""COMPUTED_VALUE"""),46066.0)</f>
        <v>46066</v>
      </c>
      <c r="F34" s="1">
        <f>IFERROR(__xludf.DUMMYFUNCTION("""COMPUTED_VALUE"""),46155.0)</f>
        <v>46155</v>
      </c>
    </row>
    <row r="35">
      <c r="B35" s="10" t="str">
        <f>IFERROR(__xludf.DUMMYFUNCTION("""COMPUTED_VALUE"""),"Guillem de Anglesola, 3")</f>
        <v>Guillem de Anglesola, 3</v>
      </c>
      <c r="C35" s="10" t="str">
        <f>IFERROR(__xludf.DUMMYFUNCTION("""COMPUTED_VALUE"""),"Terraza")</f>
        <v>Terraza</v>
      </c>
      <c r="D35" s="10">
        <f>IFERROR(__xludf.DUMMYFUNCTION("""COMPUTED_VALUE"""),6.0)</f>
        <v>6</v>
      </c>
      <c r="E35" s="1">
        <f>IFERROR(__xludf.DUMMYFUNCTION("""COMPUTED_VALUE"""),45974.0)</f>
        <v>45974</v>
      </c>
      <c r="F35" s="1">
        <f>IFERROR(__xludf.DUMMYFUNCTION("""COMPUTED_VALUE"""),46155.0)</f>
        <v>46155</v>
      </c>
    </row>
    <row r="36">
      <c r="B36" s="10" t="str">
        <f>IFERROR(__xludf.DUMMYFUNCTION("""COMPUTED_VALUE"""),"Arquitecto Alfaro, 25")</f>
        <v>Arquitecto Alfaro, 25</v>
      </c>
      <c r="C36" s="10" t="str">
        <f>IFERROR(__xludf.DUMMYFUNCTION("""COMPUTED_VALUE""")," Puerta")</f>
        <v> Puerta</v>
      </c>
      <c r="D36" s="10">
        <f>IFERROR(__xludf.DUMMYFUNCTION("""COMPUTED_VALUE"""),1.0)</f>
        <v>1</v>
      </c>
      <c r="E36" s="1" t="str">
        <f>IFERROR(__xludf.DUMMYFUNCTION("""COMPUTED_VALUE"""),"")</f>
        <v/>
      </c>
      <c r="F36" s="1" t="str">
        <f>IFERROR(__xludf.DUMMYFUNCTION("""COMPUTED_VALUE"""),"")</f>
        <v/>
      </c>
    </row>
    <row r="37">
      <c r="B37" s="10" t="str">
        <f>IFERROR(__xludf.DUMMYFUNCTION("""COMPUTED_VALUE"""),"Camino Alabau, 20")</f>
        <v>Camino Alabau, 20</v>
      </c>
      <c r="C37" s="10" t="str">
        <f>IFERROR(__xludf.DUMMYFUNCTION("""COMPUTED_VALUE"""),"Ventanas")</f>
        <v>Ventanas</v>
      </c>
      <c r="D37" s="10">
        <f>IFERROR(__xludf.DUMMYFUNCTION("""COMPUTED_VALUE"""),1.0)</f>
        <v>1</v>
      </c>
      <c r="E37" s="1"/>
      <c r="F37" s="1" t="str">
        <f>IFERROR(__xludf.DUMMYFUNCTION("""COMPUTED_VALUE"""),"")</f>
        <v/>
      </c>
    </row>
    <row r="38">
      <c r="B38" s="10" t="str">
        <f>IFERROR(__xludf.DUMMYFUNCTION("""COMPUTED_VALUE"""),"Camino Alabau, 20")</f>
        <v>Camino Alabau, 20</v>
      </c>
      <c r="C38" s="10" t="str">
        <f>IFERROR(__xludf.DUMMYFUNCTION("""COMPUTED_VALUE"""),"Puerta")</f>
        <v>Puerta</v>
      </c>
      <c r="D38" s="10">
        <f>IFERROR(__xludf.DUMMYFUNCTION("""COMPUTED_VALUE"""),1.0)</f>
        <v>1</v>
      </c>
      <c r="E38" s="1"/>
      <c r="F38" s="1" t="str">
        <f>IFERROR(__xludf.DUMMYFUNCTION("""COMPUTED_VALUE"""),"")</f>
        <v/>
      </c>
    </row>
    <row r="39">
      <c r="B39" s="10" t="str">
        <f>IFERROR(__xludf.DUMMYFUNCTION("""COMPUTED_VALUE"""),"Camino Alabau, 20")</f>
        <v>Camino Alabau, 20</v>
      </c>
      <c r="C39" s="10" t="str">
        <f>IFERROR(__xludf.DUMMYFUNCTION("""COMPUTED_VALUE"""),"Alicatado zaguán")</f>
        <v>Alicatado zaguán</v>
      </c>
      <c r="D39" s="10">
        <f>IFERROR(__xludf.DUMMYFUNCTION("""COMPUTED_VALUE"""),1.0)</f>
        <v>1</v>
      </c>
      <c r="E39" s="1"/>
      <c r="F39" s="1" t="str">
        <f>IFERROR(__xludf.DUMMYFUNCTION("""COMPUTED_VALUE"""),"")</f>
        <v/>
      </c>
    </row>
    <row r="40">
      <c r="B40" s="10" t="str">
        <f>IFERROR(__xludf.DUMMYFUNCTION("""COMPUTED_VALUE"""),"Camino Alabau, 20")</f>
        <v>Camino Alabau, 20</v>
      </c>
      <c r="C40" s="10" t="str">
        <f>IFERROR(__xludf.DUMMYFUNCTION("""COMPUTED_VALUE"""),"Luminaria")</f>
        <v>Luminaria</v>
      </c>
      <c r="D40" s="10">
        <f>IFERROR(__xludf.DUMMYFUNCTION("""COMPUTED_VALUE"""),1.0)</f>
        <v>1</v>
      </c>
      <c r="E40" s="1"/>
      <c r="F40" s="1" t="str">
        <f>IFERROR(__xludf.DUMMYFUNCTION("""COMPUTED_VALUE"""),"")</f>
        <v/>
      </c>
    </row>
    <row r="41">
      <c r="B41" s="10" t="str">
        <f>IFERROR(__xludf.DUMMYFUNCTION("""COMPUTED_VALUE"""),"Camino Alabau, 20")</f>
        <v>Camino Alabau, 20</v>
      </c>
      <c r="C41" s="10" t="str">
        <f>IFERROR(__xludf.DUMMYFUNCTION("""COMPUTED_VALUE"""),"Terraza")</f>
        <v>Terraza</v>
      </c>
      <c r="D41" s="10">
        <f>IFERROR(__xludf.DUMMYFUNCTION("""COMPUTED_VALUE"""),1.0)</f>
        <v>1</v>
      </c>
      <c r="E41" s="1"/>
      <c r="F41" s="1" t="str">
        <f>IFERROR(__xludf.DUMMYFUNCTION("""COMPUTED_VALUE"""),"")</f>
        <v/>
      </c>
    </row>
    <row r="42">
      <c r="B42" s="10" t="str">
        <f>IFERROR(__xludf.DUMMYFUNCTION("""COMPUTED_VALUE"""),"Camino Alabau, 20")</f>
        <v>Camino Alabau, 20</v>
      </c>
      <c r="C42" s="10" t="str">
        <f>IFERROR(__xludf.DUMMYFUNCTION("""COMPUTED_VALUE"""),"Cuartos")</f>
        <v>Cuartos</v>
      </c>
      <c r="D42" s="10">
        <f>IFERROR(__xludf.DUMMYFUNCTION("""COMPUTED_VALUE"""),1.0)</f>
        <v>1</v>
      </c>
      <c r="E42" s="1"/>
      <c r="F42" s="1" t="str">
        <f>IFERROR(__xludf.DUMMYFUNCTION("""COMPUTED_VALUE"""),"")</f>
        <v/>
      </c>
    </row>
    <row r="43">
      <c r="B43" s="10" t="str">
        <f>IFERROR(__xludf.DUMMYFUNCTION("""COMPUTED_VALUE"""),"Camino Alabau, 24")</f>
        <v>Camino Alabau, 24</v>
      </c>
      <c r="C43" s="10" t="str">
        <f>IFERROR(__xludf.DUMMYFUNCTION("""COMPUTED_VALUE"""),"Ventanas")</f>
        <v>Ventanas</v>
      </c>
      <c r="D43" s="10">
        <f>IFERROR(__xludf.DUMMYFUNCTION("""COMPUTED_VALUE"""),1.0)</f>
        <v>1</v>
      </c>
      <c r="E43" s="1"/>
      <c r="F43" s="1" t="str">
        <f>IFERROR(__xludf.DUMMYFUNCTION("""COMPUTED_VALUE"""),"")</f>
        <v/>
      </c>
    </row>
    <row r="44">
      <c r="B44" s="10" t="str">
        <f>IFERROR(__xludf.DUMMYFUNCTION("""COMPUTED_VALUE"""),"Camino Alabau, 24")</f>
        <v>Camino Alabau, 24</v>
      </c>
      <c r="C44" s="10" t="str">
        <f>IFERROR(__xludf.DUMMYFUNCTION("""COMPUTED_VALUE"""),"Puerta")</f>
        <v>Puerta</v>
      </c>
      <c r="D44" s="10">
        <f>IFERROR(__xludf.DUMMYFUNCTION("""COMPUTED_VALUE"""),1.0)</f>
        <v>1</v>
      </c>
      <c r="E44" s="1"/>
      <c r="F44" s="1" t="str">
        <f>IFERROR(__xludf.DUMMYFUNCTION("""COMPUTED_VALUE"""),"")</f>
        <v/>
      </c>
    </row>
    <row r="45">
      <c r="B45" s="10" t="str">
        <f>IFERROR(__xludf.DUMMYFUNCTION("""COMPUTED_VALUE"""),"Camino Alabau, 24")</f>
        <v>Camino Alabau, 24</v>
      </c>
      <c r="C45" s="10" t="str">
        <f>IFERROR(__xludf.DUMMYFUNCTION("""COMPUTED_VALUE"""),"Luminaria")</f>
        <v>Luminaria</v>
      </c>
      <c r="D45" s="10">
        <f>IFERROR(__xludf.DUMMYFUNCTION("""COMPUTED_VALUE"""),1.0)</f>
        <v>1</v>
      </c>
      <c r="E45" s="1"/>
      <c r="F45" s="1" t="str">
        <f>IFERROR(__xludf.DUMMYFUNCTION("""COMPUTED_VALUE"""),"")</f>
        <v/>
      </c>
    </row>
    <row r="46">
      <c r="B46" s="10" t="str">
        <f>IFERROR(__xludf.DUMMYFUNCTION("""COMPUTED_VALUE"""),"Camino Alabau, 24")</f>
        <v>Camino Alabau, 24</v>
      </c>
      <c r="C46" s="10" t="str">
        <f>IFERROR(__xludf.DUMMYFUNCTION("""COMPUTED_VALUE"""),"Terraza")</f>
        <v>Terraza</v>
      </c>
      <c r="D46" s="10">
        <f>IFERROR(__xludf.DUMMYFUNCTION("""COMPUTED_VALUE"""),1.0)</f>
        <v>1</v>
      </c>
      <c r="E46" s="1"/>
      <c r="F46" s="1" t="str">
        <f>IFERROR(__xludf.DUMMYFUNCTION("""COMPUTED_VALUE"""),"")</f>
        <v/>
      </c>
    </row>
    <row r="47">
      <c r="B47" s="10" t="str">
        <f>IFERROR(__xludf.DUMMYFUNCTION("""COMPUTED_VALUE"""),"Camino Alabau, 24")</f>
        <v>Camino Alabau, 24</v>
      </c>
      <c r="C47" s="10" t="str">
        <f>IFERROR(__xludf.DUMMYFUNCTION("""COMPUTED_VALUE"""),"Cuartos")</f>
        <v>Cuartos</v>
      </c>
      <c r="D47" s="10">
        <f>IFERROR(__xludf.DUMMYFUNCTION("""COMPUTED_VALUE"""),1.0)</f>
        <v>1</v>
      </c>
      <c r="E47" s="1"/>
      <c r="F47" s="1" t="str">
        <f>IFERROR(__xludf.DUMMYFUNCTION("""COMPUTED_VALUE"""),"")</f>
        <v/>
      </c>
    </row>
    <row r="48">
      <c r="B48" s="10" t="str">
        <f>IFERROR(__xludf.DUMMYFUNCTION("""COMPUTED_VALUE"""),"Camino Alabau, 8")</f>
        <v>Camino Alabau, 8</v>
      </c>
      <c r="C48" s="10" t="str">
        <f>IFERROR(__xludf.DUMMYFUNCTION("""COMPUTED_VALUE"""),"Ventanas")</f>
        <v>Ventanas</v>
      </c>
      <c r="D48" s="10">
        <f>IFERROR(__xludf.DUMMYFUNCTION("""COMPUTED_VALUE"""),1.0)</f>
        <v>1</v>
      </c>
      <c r="E48" s="1"/>
      <c r="F48" s="1" t="str">
        <f>IFERROR(__xludf.DUMMYFUNCTION("""COMPUTED_VALUE"""),"")</f>
        <v/>
      </c>
    </row>
    <row r="49">
      <c r="B49" s="10" t="str">
        <f>IFERROR(__xludf.DUMMYFUNCTION("""COMPUTED_VALUE"""),"Camino Alabau, 8")</f>
        <v>Camino Alabau, 8</v>
      </c>
      <c r="C49" s="10" t="str">
        <f>IFERROR(__xludf.DUMMYFUNCTION("""COMPUTED_VALUE"""),"Puerta")</f>
        <v>Puerta</v>
      </c>
      <c r="D49" s="10">
        <f>IFERROR(__xludf.DUMMYFUNCTION("""COMPUTED_VALUE"""),1.0)</f>
        <v>1</v>
      </c>
      <c r="E49" s="1"/>
      <c r="F49" s="1" t="str">
        <f>IFERROR(__xludf.DUMMYFUNCTION("""COMPUTED_VALUE"""),"")</f>
        <v/>
      </c>
    </row>
    <row r="50">
      <c r="B50" s="10" t="str">
        <f>IFERROR(__xludf.DUMMYFUNCTION("""COMPUTED_VALUE"""),"Camino Alabau, 8")</f>
        <v>Camino Alabau, 8</v>
      </c>
      <c r="C50" s="10" t="str">
        <f>IFERROR(__xludf.DUMMYFUNCTION("""COMPUTED_VALUE"""),"Alicatado zaguán")</f>
        <v>Alicatado zaguán</v>
      </c>
      <c r="D50" s="10">
        <f>IFERROR(__xludf.DUMMYFUNCTION("""COMPUTED_VALUE"""),2.0)</f>
        <v>2</v>
      </c>
      <c r="E50" s="1"/>
      <c r="F50" s="1" t="str">
        <f>IFERROR(__xludf.DUMMYFUNCTION("""COMPUTED_VALUE"""),"")</f>
        <v/>
      </c>
    </row>
    <row r="51">
      <c r="B51" s="10" t="str">
        <f>IFERROR(__xludf.DUMMYFUNCTION("""COMPUTED_VALUE"""),"Camino Alabau, 8")</f>
        <v>Camino Alabau, 8</v>
      </c>
      <c r="C51" s="10" t="str">
        <f>IFERROR(__xludf.DUMMYFUNCTION("""COMPUTED_VALUE"""),"Luminaria")</f>
        <v>Luminaria</v>
      </c>
      <c r="D51" s="10">
        <f>IFERROR(__xludf.DUMMYFUNCTION("""COMPUTED_VALUE"""),3.0)</f>
        <v>3</v>
      </c>
      <c r="E51" s="1"/>
      <c r="F51" s="1" t="str">
        <f>IFERROR(__xludf.DUMMYFUNCTION("""COMPUTED_VALUE"""),"")</f>
        <v/>
      </c>
    </row>
    <row r="52">
      <c r="B52" s="10" t="str">
        <f>IFERROR(__xludf.DUMMYFUNCTION("""COMPUTED_VALUE"""),"Camino Alabau, 8")</f>
        <v>Camino Alabau, 8</v>
      </c>
      <c r="C52" s="10" t="str">
        <f>IFERROR(__xludf.DUMMYFUNCTION("""COMPUTED_VALUE"""),"Terraza")</f>
        <v>Terraza</v>
      </c>
      <c r="D52" s="10">
        <f>IFERROR(__xludf.DUMMYFUNCTION("""COMPUTED_VALUE"""),6.0)</f>
        <v>6</v>
      </c>
      <c r="E52" s="1"/>
      <c r="F52" s="1" t="str">
        <f>IFERROR(__xludf.DUMMYFUNCTION("""COMPUTED_VALUE"""),"")</f>
        <v/>
      </c>
    </row>
    <row r="53">
      <c r="B53" s="10" t="str">
        <f>IFERROR(__xludf.DUMMYFUNCTION("""COMPUTED_VALUE"""),"Camino Alabau, 8")</f>
        <v>Camino Alabau, 8</v>
      </c>
      <c r="C53" s="10" t="str">
        <f>IFERROR(__xludf.DUMMYFUNCTION("""COMPUTED_VALUE"""),"Cuartos")</f>
        <v>Cuartos</v>
      </c>
      <c r="D53" s="10">
        <f>IFERROR(__xludf.DUMMYFUNCTION("""COMPUTED_VALUE"""),6.0)</f>
        <v>6</v>
      </c>
      <c r="E53" s="1"/>
      <c r="F53" s="1" t="str">
        <f>IFERROR(__xludf.DUMMYFUNCTION("""COMPUTED_VALUE"""),"")</f>
        <v/>
      </c>
    </row>
    <row r="54">
      <c r="B54" s="10" t="str">
        <f>IFERROR(__xludf.DUMMYFUNCTION("""COMPUTED_VALUE"""),"Duque de Calabria, 3")</f>
        <v>Duque de Calabria, 3</v>
      </c>
      <c r="C54" s="10" t="str">
        <f>IFERROR(__xludf.DUMMYFUNCTION("""COMPUTED_VALUE"""),"Luminaria")</f>
        <v>Luminaria</v>
      </c>
      <c r="D54" s="10">
        <f>IFERROR(__xludf.DUMMYFUNCTION("""COMPUTED_VALUE"""),1.0)</f>
        <v>1</v>
      </c>
      <c r="E54" s="1"/>
      <c r="F54" s="1" t="str">
        <f>IFERROR(__xludf.DUMMYFUNCTION("""COMPUTED_VALUE"""),"")</f>
        <v/>
      </c>
    </row>
    <row r="55">
      <c r="B55" s="10" t="str">
        <f>IFERROR(__xludf.DUMMYFUNCTION("""COMPUTED_VALUE"""),"Duque de Calabria, 3")</f>
        <v>Duque de Calabria, 3</v>
      </c>
      <c r="C55" s="10" t="str">
        <f>IFERROR(__xludf.DUMMYFUNCTION("""COMPUTED_VALUE"""),"Ventanas")</f>
        <v>Ventanas</v>
      </c>
      <c r="D55" s="10">
        <f>IFERROR(__xludf.DUMMYFUNCTION("""COMPUTED_VALUE"""),1.0)</f>
        <v>1</v>
      </c>
      <c r="E55" s="1"/>
      <c r="F55" s="1" t="str">
        <f>IFERROR(__xludf.DUMMYFUNCTION("""COMPUTED_VALUE"""),"")</f>
        <v/>
      </c>
    </row>
    <row r="56">
      <c r="B56" s="10" t="str">
        <f>IFERROR(__xludf.DUMMYFUNCTION("""COMPUTED_VALUE"""),"Duque de Calabria, 3")</f>
        <v>Duque de Calabria, 3</v>
      </c>
      <c r="C56" s="10" t="str">
        <f>IFERROR(__xludf.DUMMYFUNCTION("""COMPUTED_VALUE"""),"Puerta")</f>
        <v>Puerta</v>
      </c>
      <c r="D56" s="10">
        <f>IFERROR(__xludf.DUMMYFUNCTION("""COMPUTED_VALUE"""),1.0)</f>
        <v>1</v>
      </c>
      <c r="E56" s="1"/>
      <c r="F56" s="1" t="str">
        <f>IFERROR(__xludf.DUMMYFUNCTION("""COMPUTED_VALUE"""),"")</f>
        <v/>
      </c>
    </row>
    <row r="57">
      <c r="B57" s="10" t="str">
        <f>IFERROR(__xludf.DUMMYFUNCTION("""COMPUTED_VALUE"""),"Duque de Calabria, 3")</f>
        <v>Duque de Calabria, 3</v>
      </c>
      <c r="C57" s="10" t="str">
        <f>IFERROR(__xludf.DUMMYFUNCTION("""COMPUTED_VALUE"""),"Terraza")</f>
        <v>Terraza</v>
      </c>
      <c r="D57" s="10">
        <f>IFERROR(__xludf.DUMMYFUNCTION("""COMPUTED_VALUE"""),1.0)</f>
        <v>1</v>
      </c>
      <c r="E57" s="1"/>
      <c r="F57" s="1" t="str">
        <f>IFERROR(__xludf.DUMMYFUNCTION("""COMPUTED_VALUE"""),"")</f>
        <v/>
      </c>
    </row>
    <row r="58">
      <c r="B58" s="10" t="str">
        <f>IFERROR(__xludf.DUMMYFUNCTION("""COMPUTED_VALUE"""),"Duque de Calabria, 3")</f>
        <v>Duque de Calabria, 3</v>
      </c>
      <c r="C58" s="10" t="str">
        <f>IFERROR(__xludf.DUMMYFUNCTION("""COMPUTED_VALUE"""),"Cuartos")</f>
        <v>Cuartos</v>
      </c>
      <c r="D58" s="10">
        <f>IFERROR(__xludf.DUMMYFUNCTION("""COMPUTED_VALUE"""),1.0)</f>
        <v>1</v>
      </c>
      <c r="E58" s="1"/>
      <c r="F58" s="1" t="str">
        <f>IFERROR(__xludf.DUMMYFUNCTION("""COMPUTED_VALUE"""),"")</f>
        <v/>
      </c>
    </row>
    <row r="59">
      <c r="B59" s="10" t="str">
        <f>IFERROR(__xludf.DUMMYFUNCTION("""COMPUTED_VALUE"""),"Escrivá, 2")</f>
        <v>Escrivá, 2</v>
      </c>
      <c r="C59" s="10" t="str">
        <f>IFERROR(__xludf.DUMMYFUNCTION("""COMPUTED_VALUE"""),"Ventanas")</f>
        <v>Ventanas</v>
      </c>
      <c r="D59" s="10">
        <f>IFERROR(__xludf.DUMMYFUNCTION("""COMPUTED_VALUE"""),1.0)</f>
        <v>1</v>
      </c>
      <c r="E59" s="1"/>
      <c r="F59" s="1" t="str">
        <f>IFERROR(__xludf.DUMMYFUNCTION("""COMPUTED_VALUE"""),"")</f>
        <v/>
      </c>
    </row>
    <row r="60">
      <c r="B60" s="10" t="str">
        <f>IFERROR(__xludf.DUMMYFUNCTION("""COMPUTED_VALUE"""),"Escrivá, 2")</f>
        <v>Escrivá, 2</v>
      </c>
      <c r="C60" s="10" t="str">
        <f>IFERROR(__xludf.DUMMYFUNCTION("""COMPUTED_VALUE"""),"Puerta")</f>
        <v>Puerta</v>
      </c>
      <c r="D60" s="10">
        <f>IFERROR(__xludf.DUMMYFUNCTION("""COMPUTED_VALUE"""),1.0)</f>
        <v>1</v>
      </c>
      <c r="E60" s="1"/>
      <c r="F60" s="1" t="str">
        <f>IFERROR(__xludf.DUMMYFUNCTION("""COMPUTED_VALUE"""),"")</f>
        <v/>
      </c>
    </row>
    <row r="61">
      <c r="B61" s="10" t="str">
        <f>IFERROR(__xludf.DUMMYFUNCTION("""COMPUTED_VALUE"""),"Escrivá, 2")</f>
        <v>Escrivá, 2</v>
      </c>
      <c r="C61" s="10" t="str">
        <f>IFERROR(__xludf.DUMMYFUNCTION("""COMPUTED_VALUE"""),"Cuartos")</f>
        <v>Cuartos</v>
      </c>
      <c r="D61" s="10">
        <f>IFERROR(__xludf.DUMMYFUNCTION("""COMPUTED_VALUE"""),6.0)</f>
        <v>6</v>
      </c>
      <c r="E61" s="1"/>
      <c r="F61" s="1" t="str">
        <f>IFERROR(__xludf.DUMMYFUNCTION("""COMPUTED_VALUE"""),"")</f>
        <v/>
      </c>
    </row>
    <row r="62">
      <c r="B62" s="10" t="str">
        <f>IFERROR(__xludf.DUMMYFUNCTION("""COMPUTED_VALUE"""),"Fuencaliente, 8")</f>
        <v>Fuencaliente, 8</v>
      </c>
      <c r="C62" s="10" t="str">
        <f>IFERROR(__xludf.DUMMYFUNCTION("""COMPUTED_VALUE"""),"Luminaria")</f>
        <v>Luminaria</v>
      </c>
      <c r="D62" s="10">
        <f>IFERROR(__xludf.DUMMYFUNCTION("""COMPUTED_VALUE"""),1.0)</f>
        <v>1</v>
      </c>
      <c r="E62" s="1"/>
      <c r="F62" s="1" t="str">
        <f>IFERROR(__xludf.DUMMYFUNCTION("""COMPUTED_VALUE"""),"")</f>
        <v/>
      </c>
    </row>
    <row r="63">
      <c r="B63" s="10" t="str">
        <f>IFERROR(__xludf.DUMMYFUNCTION("""COMPUTED_VALUE"""),"Fuencaliente, 8")</f>
        <v>Fuencaliente, 8</v>
      </c>
      <c r="C63" s="10" t="str">
        <f>IFERROR(__xludf.DUMMYFUNCTION("""COMPUTED_VALUE"""),"Ventanas")</f>
        <v>Ventanas</v>
      </c>
      <c r="D63" s="10">
        <f>IFERROR(__xludf.DUMMYFUNCTION("""COMPUTED_VALUE"""),1.0)</f>
        <v>1</v>
      </c>
      <c r="E63" s="1"/>
      <c r="F63" s="1" t="str">
        <f>IFERROR(__xludf.DUMMYFUNCTION("""COMPUTED_VALUE"""),"")</f>
        <v/>
      </c>
    </row>
    <row r="64">
      <c r="B64" s="10" t="str">
        <f>IFERROR(__xludf.DUMMYFUNCTION("""COMPUTED_VALUE"""),"Fuencaliente, 8")</f>
        <v>Fuencaliente, 8</v>
      </c>
      <c r="C64" s="10" t="str">
        <f>IFERROR(__xludf.DUMMYFUNCTION("""COMPUTED_VALUE"""),"Puerta")</f>
        <v>Puerta</v>
      </c>
      <c r="D64" s="10">
        <f>IFERROR(__xludf.DUMMYFUNCTION("""COMPUTED_VALUE"""),1.0)</f>
        <v>1</v>
      </c>
      <c r="E64" s="1"/>
      <c r="F64" s="1" t="str">
        <f>IFERROR(__xludf.DUMMYFUNCTION("""COMPUTED_VALUE"""),"")</f>
        <v/>
      </c>
    </row>
    <row r="65">
      <c r="B65" s="10" t="str">
        <f>IFERROR(__xludf.DUMMYFUNCTION("""COMPUTED_VALUE"""),"Fuencaliente, 8")</f>
        <v>Fuencaliente, 8</v>
      </c>
      <c r="C65" s="10" t="str">
        <f>IFERROR(__xludf.DUMMYFUNCTION("""COMPUTED_VALUE"""),"Terraza")</f>
        <v>Terraza</v>
      </c>
      <c r="D65" s="10">
        <f>IFERROR(__xludf.DUMMYFUNCTION("""COMPUTED_VALUE"""),1.0)</f>
        <v>1</v>
      </c>
      <c r="E65" s="1"/>
      <c r="F65" s="1" t="str">
        <f>IFERROR(__xludf.DUMMYFUNCTION("""COMPUTED_VALUE"""),"")</f>
        <v/>
      </c>
    </row>
    <row r="66">
      <c r="B66" s="10" t="str">
        <f>IFERROR(__xludf.DUMMYFUNCTION("""COMPUTED_VALUE"""),"Fuencaliente, 8")</f>
        <v>Fuencaliente, 8</v>
      </c>
      <c r="C66" s="10" t="str">
        <f>IFERROR(__xludf.DUMMYFUNCTION("""COMPUTED_VALUE"""),"Cuartos")</f>
        <v>Cuartos</v>
      </c>
      <c r="D66" s="10">
        <f>IFERROR(__xludf.DUMMYFUNCTION("""COMPUTED_VALUE"""),1.0)</f>
        <v>1</v>
      </c>
      <c r="E66" s="1"/>
      <c r="F66" s="1" t="str">
        <f>IFERROR(__xludf.DUMMYFUNCTION("""COMPUTED_VALUE"""),"")</f>
        <v/>
      </c>
    </row>
    <row r="67">
      <c r="B67" s="10" t="str">
        <f>IFERROR(__xludf.DUMMYFUNCTION("""COMPUTED_VALUE"""),"DaaS Group")</f>
        <v>DaaS Group</v>
      </c>
      <c r="C67" s="10" t="str">
        <f>IFERROR(__xludf.DUMMYFUNCTION("""COMPUTED_VALUE"""),"Ventanas")</f>
        <v>Ventanas</v>
      </c>
      <c r="D67" s="10">
        <f>IFERROR(__xludf.DUMMYFUNCTION("""COMPUTED_VALUE"""),6.0)</f>
        <v>6</v>
      </c>
      <c r="E67" s="1"/>
      <c r="F67" s="1" t="str">
        <f>IFERROR(__xludf.DUMMYFUNCTION("""COMPUTED_VALUE"""),"")</f>
        <v/>
      </c>
    </row>
    <row r="68">
      <c r="B68" s="10" t="str">
        <f>IFERROR(__xludf.DUMMYFUNCTION("""COMPUTED_VALUE"""),"EOLAB")</f>
        <v>EOLAB</v>
      </c>
      <c r="C68" s="10" t="str">
        <f>IFERROR(__xludf.DUMMYFUNCTION("""COMPUTED_VALUE"""),"Ventanas")</f>
        <v>Ventanas</v>
      </c>
      <c r="D68" s="10">
        <f>IFERROR(__xludf.DUMMYFUNCTION("""COMPUTED_VALUE"""),1.0)</f>
        <v>1</v>
      </c>
      <c r="E68" s="1"/>
      <c r="F68" s="1" t="str">
        <f>IFERROR(__xludf.DUMMYFUNCTION("""COMPUTED_VALUE"""),"")</f>
        <v/>
      </c>
    </row>
    <row r="69">
      <c r="B69" s="10" t="str">
        <f>IFERROR(__xludf.DUMMYFUNCTION("""COMPUTED_VALUE"""),"Scito Fundació")</f>
        <v>Scito Fundació</v>
      </c>
      <c r="C69" s="10" t="str">
        <f>IFERROR(__xludf.DUMMYFUNCTION("""COMPUTED_VALUE"""),"Ventanas")</f>
        <v>Ventanas</v>
      </c>
      <c r="D69" s="10">
        <f>IFERROR(__xludf.DUMMYFUNCTION("""COMPUTED_VALUE"""),1.0)</f>
        <v>1</v>
      </c>
      <c r="E69" s="1"/>
      <c r="F69" s="1" t="str">
        <f>IFERROR(__xludf.DUMMYFUNCTION("""COMPUTED_VALUE"""),"")</f>
        <v/>
      </c>
    </row>
    <row r="70">
      <c r="B70" s="10"/>
      <c r="C70" s="10"/>
      <c r="D70" s="10"/>
      <c r="E70" s="1"/>
      <c r="F70" s="1"/>
    </row>
    <row r="71">
      <c r="B71" s="10"/>
      <c r="C71" s="10"/>
      <c r="D71" s="10"/>
      <c r="E71" s="1"/>
      <c r="F71" s="1"/>
    </row>
    <row r="72">
      <c r="B72" s="10"/>
      <c r="C72" s="10"/>
      <c r="D72" s="10"/>
      <c r="E72" s="1"/>
      <c r="F72" s="1"/>
    </row>
    <row r="73">
      <c r="B73" s="10"/>
      <c r="C73" s="10"/>
      <c r="D73" s="10"/>
      <c r="E73" s="1"/>
      <c r="F73" s="1"/>
    </row>
    <row r="74">
      <c r="B74" s="10"/>
      <c r="C74" s="10"/>
      <c r="D74" s="10"/>
      <c r="E74" s="1"/>
      <c r="F74" s="1"/>
    </row>
    <row r="75">
      <c r="B75" s="10"/>
      <c r="C75" s="10"/>
      <c r="D75" s="10"/>
      <c r="E75" s="1"/>
      <c r="F75" s="1"/>
    </row>
    <row r="76">
      <c r="B76" s="10"/>
      <c r="C76" s="10"/>
      <c r="D76" s="10"/>
      <c r="E76" s="1"/>
      <c r="F76" s="1"/>
    </row>
    <row r="77">
      <c r="B77" s="10"/>
      <c r="C77" s="10"/>
      <c r="D77" s="10"/>
      <c r="E77" s="1"/>
      <c r="F77" s="1"/>
    </row>
    <row r="78">
      <c r="B78" s="10"/>
      <c r="C78" s="10"/>
      <c r="D78" s="10"/>
      <c r="E78" s="1"/>
      <c r="F78" s="1"/>
    </row>
    <row r="79">
      <c r="B79" s="10"/>
      <c r="C79" s="10"/>
      <c r="D79" s="10"/>
      <c r="E79" s="1"/>
      <c r="F79" s="1"/>
    </row>
    <row r="80">
      <c r="B80" s="10"/>
      <c r="C80" s="10"/>
      <c r="D80" s="10"/>
      <c r="E80" s="1"/>
      <c r="F80" s="1"/>
    </row>
    <row r="81">
      <c r="B81" s="10"/>
      <c r="C81" s="10"/>
      <c r="D81" s="10"/>
      <c r="E81" s="1"/>
      <c r="F81" s="1"/>
    </row>
    <row r="82">
      <c r="B82" s="10"/>
      <c r="C82" s="10"/>
      <c r="D82" s="10"/>
      <c r="E82" s="1"/>
      <c r="F82" s="1"/>
    </row>
    <row r="83">
      <c r="B83" s="10"/>
      <c r="C83" s="10"/>
      <c r="D83" s="10"/>
      <c r="E83" s="1"/>
      <c r="F83" s="1"/>
    </row>
    <row r="84">
      <c r="B84" s="10"/>
      <c r="C84" s="10"/>
      <c r="D84" s="10"/>
      <c r="E84" s="1"/>
      <c r="F84" s="1"/>
    </row>
    <row r="85">
      <c r="B85" s="10"/>
      <c r="C85" s="10"/>
      <c r="D85" s="10"/>
      <c r="E85" s="1"/>
      <c r="F85" s="1"/>
    </row>
    <row r="86">
      <c r="B86" s="10"/>
      <c r="C86" s="10"/>
      <c r="D86" s="10"/>
      <c r="E86" s="1"/>
      <c r="F86" s="1"/>
    </row>
    <row r="87">
      <c r="B87" s="10"/>
      <c r="C87" s="10"/>
      <c r="D87" s="10"/>
      <c r="E87" s="1"/>
      <c r="F87" s="1"/>
    </row>
    <row r="88">
      <c r="B88" s="10"/>
      <c r="C88" s="10"/>
      <c r="D88" s="10"/>
      <c r="E88" s="1"/>
      <c r="F88" s="1"/>
    </row>
    <row r="89">
      <c r="B89" s="10"/>
      <c r="C89" s="10"/>
      <c r="D89" s="10"/>
      <c r="E89" s="1"/>
      <c r="F89" s="1"/>
    </row>
    <row r="90">
      <c r="B90" s="10"/>
      <c r="C90" s="10"/>
      <c r="D90" s="10"/>
      <c r="E90" s="1"/>
      <c r="F90" s="1"/>
    </row>
    <row r="91">
      <c r="B91" s="10"/>
      <c r="C91" s="10"/>
      <c r="D91" s="10"/>
      <c r="E91" s="1"/>
      <c r="F91" s="1"/>
    </row>
    <row r="92">
      <c r="B92" s="10"/>
      <c r="C92" s="10"/>
      <c r="D92" s="10"/>
      <c r="E92" s="1"/>
      <c r="F92" s="1"/>
    </row>
    <row r="93">
      <c r="B93" s="10"/>
      <c r="C93" s="10"/>
      <c r="D93" s="10"/>
      <c r="E93" s="1"/>
      <c r="F93" s="1"/>
    </row>
    <row r="94">
      <c r="B94" s="10"/>
      <c r="C94" s="10"/>
      <c r="D94" s="10"/>
      <c r="E94" s="1"/>
      <c r="F94" s="1"/>
    </row>
    <row r="95">
      <c r="B95" s="10"/>
      <c r="C95" s="10"/>
      <c r="D95" s="10"/>
      <c r="E95" s="1"/>
      <c r="F95" s="1"/>
    </row>
    <row r="96">
      <c r="B96" s="10"/>
      <c r="C96" s="10"/>
      <c r="D96" s="10"/>
      <c r="E96" s="1"/>
      <c r="F96" s="1"/>
    </row>
    <row r="97">
      <c r="B97" s="10"/>
      <c r="C97" s="10"/>
      <c r="D97" s="10"/>
      <c r="E97" s="1"/>
      <c r="F97" s="1"/>
    </row>
    <row r="98">
      <c r="B98" s="10"/>
      <c r="C98" s="10"/>
      <c r="D98" s="10"/>
      <c r="E98" s="1"/>
      <c r="F98" s="1"/>
    </row>
    <row r="99">
      <c r="B99" s="10"/>
      <c r="C99" s="10"/>
      <c r="D99" s="10"/>
      <c r="E99" s="1"/>
      <c r="F99" s="1"/>
    </row>
    <row r="100">
      <c r="B100" s="10"/>
      <c r="C100" s="10"/>
      <c r="D100" s="10"/>
      <c r="E100" s="1"/>
      <c r="F100" s="1"/>
    </row>
    <row r="101">
      <c r="B101" s="10"/>
      <c r="C101" s="10"/>
      <c r="D101" s="10"/>
      <c r="E101" s="1"/>
      <c r="F101" s="1"/>
    </row>
    <row r="102">
      <c r="B102" s="10"/>
      <c r="C102" s="10"/>
      <c r="D102" s="10"/>
      <c r="E102" s="1"/>
      <c r="F102" s="1"/>
    </row>
    <row r="103">
      <c r="B103" s="10"/>
      <c r="C103" s="10"/>
      <c r="D103" s="10"/>
      <c r="E103" s="1"/>
      <c r="F103" s="1"/>
    </row>
    <row r="104">
      <c r="B104" s="10"/>
      <c r="C104" s="10"/>
      <c r="D104" s="10"/>
      <c r="E104" s="1"/>
      <c r="F104" s="1"/>
    </row>
    <row r="105">
      <c r="B105" s="10"/>
      <c r="C105" s="10"/>
      <c r="D105" s="10"/>
      <c r="E105" s="1"/>
      <c r="F105" s="1"/>
    </row>
    <row r="106">
      <c r="B106" s="10"/>
      <c r="C106" s="10"/>
      <c r="D106" s="10"/>
      <c r="E106" s="1"/>
      <c r="F106" s="1"/>
    </row>
    <row r="107">
      <c r="B107" s="10"/>
      <c r="C107" s="10"/>
      <c r="D107" s="10"/>
      <c r="E107" s="1"/>
      <c r="F107" s="1"/>
    </row>
    <row r="108">
      <c r="B108" s="10"/>
      <c r="C108" s="10"/>
      <c r="D108" s="10"/>
      <c r="E108" s="1"/>
      <c r="F108" s="1"/>
    </row>
    <row r="109">
      <c r="B109" s="10"/>
      <c r="C109" s="10"/>
      <c r="D109" s="10"/>
      <c r="E109" s="1"/>
      <c r="F109" s="1"/>
    </row>
    <row r="110">
      <c r="B110" s="10"/>
      <c r="C110" s="10"/>
      <c r="D110" s="10"/>
      <c r="E110" s="1"/>
      <c r="F110" s="1"/>
    </row>
    <row r="111">
      <c r="B111" s="10"/>
      <c r="C111" s="10"/>
      <c r="D111" s="10"/>
      <c r="E111" s="1"/>
      <c r="F111" s="1"/>
    </row>
    <row r="112">
      <c r="B112" s="10"/>
      <c r="C112" s="10"/>
      <c r="D112" s="10"/>
      <c r="E112" s="1"/>
      <c r="F112" s="1"/>
    </row>
    <row r="113">
      <c r="B113" s="10"/>
      <c r="C113" s="10"/>
      <c r="D113" s="10"/>
      <c r="E113" s="1"/>
      <c r="F113" s="1"/>
    </row>
    <row r="114">
      <c r="B114" s="10"/>
      <c r="C114" s="10"/>
      <c r="D114" s="10"/>
      <c r="E114" s="1"/>
      <c r="F114" s="1"/>
    </row>
    <row r="115">
      <c r="B115" s="10"/>
      <c r="C115" s="10"/>
      <c r="D115" s="10"/>
      <c r="E115" s="1"/>
      <c r="F115" s="1"/>
    </row>
    <row r="116">
      <c r="B116" s="10"/>
      <c r="C116" s="10"/>
      <c r="D116" s="10"/>
      <c r="E116" s="1"/>
      <c r="F116" s="1"/>
    </row>
    <row r="117">
      <c r="B117" s="10"/>
      <c r="C117" s="10"/>
      <c r="D117" s="10"/>
      <c r="E117" s="1"/>
      <c r="F117" s="1"/>
    </row>
    <row r="118">
      <c r="B118" s="10"/>
      <c r="C118" s="10"/>
      <c r="D118" s="10"/>
      <c r="E118" s="1"/>
      <c r="F118" s="1"/>
    </row>
    <row r="119">
      <c r="B119" s="10"/>
      <c r="C119" s="10"/>
      <c r="D119" s="10"/>
      <c r="E119" s="1"/>
      <c r="F119" s="1"/>
    </row>
    <row r="120">
      <c r="B120" s="10"/>
      <c r="C120" s="10"/>
      <c r="D120" s="10"/>
      <c r="E120" s="1"/>
      <c r="F120" s="1"/>
    </row>
    <row r="121">
      <c r="B121" s="10"/>
      <c r="C121" s="10"/>
      <c r="D121" s="10"/>
      <c r="E121" s="1"/>
      <c r="F121" s="1"/>
    </row>
    <row r="122">
      <c r="B122" s="10"/>
      <c r="C122" s="10"/>
      <c r="D122" s="10"/>
      <c r="E122" s="1"/>
      <c r="F122" s="1"/>
    </row>
    <row r="123">
      <c r="B123" s="10"/>
      <c r="C123" s="10"/>
      <c r="D123" s="10"/>
      <c r="E123" s="1"/>
      <c r="F123" s="1"/>
    </row>
    <row r="124">
      <c r="B124" s="10"/>
      <c r="C124" s="10"/>
      <c r="D124" s="10"/>
      <c r="E124" s="1"/>
      <c r="F124" s="1"/>
    </row>
    <row r="125">
      <c r="B125" s="10"/>
      <c r="C125" s="10"/>
      <c r="D125" s="10"/>
      <c r="E125" s="1"/>
      <c r="F125" s="1"/>
    </row>
    <row r="126">
      <c r="B126" s="10"/>
      <c r="C126" s="10"/>
      <c r="D126" s="10"/>
      <c r="E126" s="1"/>
      <c r="F126" s="1"/>
    </row>
    <row r="127">
      <c r="B127" s="10"/>
      <c r="C127" s="10"/>
      <c r="D127" s="10"/>
      <c r="E127" s="1"/>
      <c r="F127" s="1"/>
    </row>
    <row r="128">
      <c r="B128" s="10"/>
      <c r="C128" s="10"/>
      <c r="D128" s="10"/>
      <c r="E128" s="1"/>
      <c r="F128" s="1"/>
    </row>
    <row r="129">
      <c r="B129" s="10"/>
      <c r="C129" s="10"/>
      <c r="D129" s="10"/>
      <c r="E129" s="1"/>
      <c r="F129" s="1"/>
    </row>
    <row r="130">
      <c r="B130" s="10"/>
      <c r="C130" s="10"/>
      <c r="D130" s="10"/>
      <c r="E130" s="1"/>
      <c r="F130" s="1"/>
    </row>
    <row r="131">
      <c r="B131" s="10"/>
      <c r="C131" s="10"/>
      <c r="D131" s="10"/>
      <c r="E131" s="1"/>
      <c r="F131" s="1"/>
    </row>
    <row r="132">
      <c r="B132" s="10"/>
      <c r="C132" s="10"/>
      <c r="D132" s="10"/>
      <c r="E132" s="1"/>
      <c r="F132" s="1"/>
    </row>
    <row r="133">
      <c r="B133" s="10"/>
      <c r="C133" s="10"/>
      <c r="D133" s="10"/>
      <c r="E133" s="1"/>
      <c r="F133" s="1"/>
    </row>
    <row r="134">
      <c r="B134" s="10"/>
      <c r="C134" s="10"/>
      <c r="D134" s="10"/>
      <c r="E134" s="1"/>
      <c r="F134" s="1"/>
    </row>
    <row r="135">
      <c r="B135" s="10"/>
      <c r="C135" s="10"/>
      <c r="D135" s="10"/>
      <c r="E135" s="1"/>
      <c r="F135" s="1"/>
    </row>
    <row r="136">
      <c r="B136" s="10"/>
      <c r="C136" s="10"/>
      <c r="D136" s="10"/>
      <c r="E136" s="1"/>
      <c r="F136" s="1"/>
    </row>
    <row r="137">
      <c r="B137" s="10"/>
      <c r="C137" s="10"/>
      <c r="D137" s="10"/>
      <c r="E137" s="1"/>
      <c r="F137" s="1"/>
    </row>
    <row r="138">
      <c r="B138" s="10"/>
      <c r="C138" s="10"/>
      <c r="D138" s="10"/>
      <c r="E138" s="1"/>
      <c r="F138" s="1"/>
    </row>
    <row r="139">
      <c r="B139" s="10"/>
      <c r="C139" s="10"/>
      <c r="D139" s="10"/>
      <c r="E139" s="1"/>
      <c r="F139" s="1"/>
    </row>
    <row r="140">
      <c r="B140" s="10"/>
      <c r="C140" s="10"/>
      <c r="D140" s="10"/>
      <c r="E140" s="1"/>
      <c r="F140" s="1"/>
    </row>
    <row r="141">
      <c r="B141" s="10"/>
      <c r="C141" s="10"/>
      <c r="D141" s="10"/>
      <c r="E141" s="1"/>
      <c r="F141" s="1"/>
    </row>
    <row r="142">
      <c r="B142" s="10"/>
      <c r="C142" s="10"/>
      <c r="D142" s="10"/>
      <c r="E142" s="1"/>
      <c r="F142" s="1"/>
    </row>
    <row r="143">
      <c r="B143" s="10"/>
      <c r="C143" s="10"/>
      <c r="D143" s="10"/>
      <c r="E143" s="1"/>
      <c r="F143" s="1"/>
    </row>
    <row r="144">
      <c r="B144" s="10"/>
      <c r="C144" s="10"/>
      <c r="D144" s="10"/>
      <c r="E144" s="1"/>
      <c r="F144" s="1"/>
    </row>
    <row r="145">
      <c r="B145" s="10"/>
      <c r="C145" s="10"/>
      <c r="D145" s="10"/>
      <c r="E145" s="1"/>
      <c r="F145" s="1"/>
    </row>
    <row r="146">
      <c r="B146" s="10"/>
      <c r="C146" s="10"/>
      <c r="D146" s="10"/>
      <c r="E146" s="1"/>
      <c r="F146" s="1"/>
    </row>
    <row r="147">
      <c r="B147" s="10"/>
      <c r="C147" s="10"/>
      <c r="D147" s="10"/>
      <c r="E147" s="1"/>
      <c r="F147" s="1"/>
    </row>
    <row r="148">
      <c r="B148" s="10"/>
      <c r="C148" s="10"/>
      <c r="D148" s="10"/>
      <c r="E148" s="1"/>
      <c r="F148" s="1"/>
    </row>
    <row r="149">
      <c r="B149" s="10"/>
      <c r="C149" s="10"/>
      <c r="D149" s="10"/>
      <c r="E149" s="1"/>
      <c r="F149" s="1"/>
    </row>
    <row r="150">
      <c r="B150" s="10"/>
      <c r="C150" s="10"/>
      <c r="D150" s="10"/>
      <c r="E150" s="1"/>
      <c r="F150" s="1"/>
    </row>
    <row r="151">
      <c r="B151" s="10"/>
      <c r="C151" s="10"/>
      <c r="D151" s="10"/>
      <c r="E151" s="1"/>
      <c r="F151" s="1"/>
    </row>
    <row r="152">
      <c r="B152" s="10"/>
      <c r="C152" s="10"/>
      <c r="D152" s="10"/>
      <c r="E152" s="1"/>
      <c r="F152" s="1"/>
    </row>
    <row r="153">
      <c r="B153" s="10"/>
      <c r="C153" s="10"/>
      <c r="D153" s="10"/>
      <c r="E153" s="1"/>
      <c r="F153" s="1"/>
    </row>
    <row r="154">
      <c r="B154" s="10"/>
      <c r="C154" s="10"/>
      <c r="D154" s="10"/>
      <c r="E154" s="1"/>
      <c r="F154" s="1"/>
    </row>
    <row r="155">
      <c r="B155" s="10"/>
      <c r="C155" s="10"/>
      <c r="D155" s="10"/>
      <c r="E155" s="1"/>
      <c r="F155" s="1"/>
    </row>
    <row r="156">
      <c r="B156" s="10"/>
      <c r="C156" s="10"/>
      <c r="D156" s="10"/>
      <c r="E156" s="1"/>
      <c r="F156" s="1"/>
    </row>
    <row r="157">
      <c r="B157" s="10"/>
      <c r="C157" s="10"/>
      <c r="D157" s="10"/>
      <c r="E157" s="1"/>
      <c r="F157" s="1"/>
    </row>
    <row r="158">
      <c r="B158" s="10"/>
      <c r="C158" s="10"/>
      <c r="D158" s="10"/>
      <c r="E158" s="1"/>
      <c r="F158" s="1"/>
    </row>
    <row r="159">
      <c r="B159" s="10"/>
      <c r="C159" s="10"/>
      <c r="D159" s="10"/>
      <c r="E159" s="1"/>
      <c r="F159" s="1"/>
    </row>
    <row r="160">
      <c r="B160" s="10"/>
      <c r="C160" s="10"/>
      <c r="D160" s="10"/>
      <c r="E160" s="1"/>
      <c r="F160" s="1"/>
    </row>
    <row r="161">
      <c r="B161" s="10"/>
      <c r="C161" s="10"/>
      <c r="D161" s="10"/>
      <c r="E161" s="1"/>
      <c r="F161" s="1"/>
    </row>
    <row r="162">
      <c r="B162" s="10"/>
      <c r="C162" s="10"/>
      <c r="D162" s="10"/>
      <c r="E162" s="1"/>
      <c r="F162" s="1"/>
    </row>
    <row r="163">
      <c r="B163" s="10"/>
      <c r="C163" s="10"/>
      <c r="D163" s="10"/>
      <c r="E163" s="1"/>
      <c r="F163" s="1"/>
    </row>
    <row r="164">
      <c r="B164" s="10"/>
      <c r="C164" s="10"/>
      <c r="D164" s="10"/>
      <c r="E164" s="1"/>
      <c r="F164" s="1"/>
    </row>
    <row r="165">
      <c r="B165" s="10"/>
      <c r="C165" s="10"/>
      <c r="D165" s="10"/>
      <c r="E165" s="1"/>
      <c r="F165" s="1"/>
    </row>
    <row r="166">
      <c r="B166" s="10"/>
      <c r="C166" s="10"/>
      <c r="D166" s="10"/>
      <c r="E166" s="1"/>
      <c r="F166" s="1"/>
    </row>
    <row r="167">
      <c r="B167" s="10"/>
      <c r="C167" s="10"/>
      <c r="D167" s="10"/>
      <c r="E167" s="1"/>
      <c r="F167" s="1"/>
    </row>
    <row r="168">
      <c r="B168" s="10"/>
      <c r="C168" s="10"/>
      <c r="D168" s="10"/>
      <c r="E168" s="1"/>
      <c r="F168" s="1"/>
    </row>
    <row r="169">
      <c r="B169" s="10"/>
      <c r="C169" s="10"/>
      <c r="D169" s="10"/>
      <c r="E169" s="1"/>
      <c r="F169" s="1"/>
    </row>
    <row r="170">
      <c r="B170" s="10"/>
      <c r="C170" s="10"/>
      <c r="D170" s="10"/>
      <c r="E170" s="1"/>
      <c r="F170" s="1"/>
    </row>
    <row r="171">
      <c r="B171" s="10"/>
      <c r="C171" s="10"/>
      <c r="D171" s="10"/>
      <c r="E171" s="1"/>
      <c r="F171" s="1"/>
    </row>
    <row r="172">
      <c r="B172" s="10"/>
      <c r="C172" s="10"/>
      <c r="D172" s="10"/>
      <c r="E172" s="1"/>
      <c r="F172" s="1"/>
    </row>
    <row r="173">
      <c r="B173" s="10"/>
      <c r="C173" s="10"/>
      <c r="D173" s="10"/>
      <c r="E173" s="1"/>
      <c r="F173" s="1"/>
    </row>
    <row r="174">
      <c r="B174" s="10"/>
      <c r="C174" s="10"/>
      <c r="D174" s="10"/>
      <c r="E174" s="1"/>
      <c r="F174" s="1"/>
    </row>
    <row r="175">
      <c r="B175" s="10"/>
      <c r="C175" s="10"/>
      <c r="D175" s="10"/>
      <c r="E175" s="1"/>
      <c r="F175" s="1"/>
    </row>
    <row r="176">
      <c r="B176" s="10"/>
      <c r="C176" s="10"/>
      <c r="D176" s="10"/>
      <c r="E176" s="1"/>
      <c r="F176" s="1"/>
    </row>
    <row r="177">
      <c r="B177" s="10"/>
      <c r="C177" s="10"/>
      <c r="D177" s="10"/>
      <c r="E177" s="1"/>
      <c r="F177" s="1"/>
    </row>
    <row r="178">
      <c r="B178" s="10"/>
      <c r="C178" s="10"/>
      <c r="D178" s="10"/>
      <c r="E178" s="1"/>
      <c r="F178" s="1"/>
    </row>
    <row r="179">
      <c r="B179" s="10"/>
      <c r="C179" s="10"/>
      <c r="D179" s="10"/>
      <c r="E179" s="1"/>
      <c r="F179" s="1"/>
    </row>
    <row r="180">
      <c r="B180" s="10"/>
      <c r="C180" s="10"/>
      <c r="D180" s="10"/>
      <c r="E180" s="1"/>
      <c r="F180" s="1"/>
    </row>
    <row r="181">
      <c r="B181" s="10"/>
      <c r="C181" s="10"/>
      <c r="D181" s="10"/>
      <c r="E181" s="1"/>
      <c r="F181" s="1"/>
    </row>
    <row r="182">
      <c r="B182" s="10"/>
      <c r="C182" s="10"/>
      <c r="D182" s="10"/>
      <c r="E182" s="1"/>
      <c r="F182" s="1"/>
    </row>
    <row r="183">
      <c r="B183" s="10"/>
      <c r="C183" s="10"/>
      <c r="D183" s="10"/>
      <c r="E183" s="1"/>
      <c r="F183" s="1"/>
    </row>
    <row r="184">
      <c r="B184" s="10"/>
      <c r="C184" s="10"/>
      <c r="D184" s="10"/>
      <c r="E184" s="1"/>
      <c r="F184" s="1"/>
    </row>
    <row r="185">
      <c r="B185" s="10"/>
      <c r="C185" s="10"/>
      <c r="D185" s="10"/>
      <c r="E185" s="1"/>
      <c r="F185" s="1"/>
    </row>
    <row r="186">
      <c r="B186" s="10"/>
      <c r="C186" s="10"/>
      <c r="D186" s="10"/>
      <c r="E186" s="1"/>
      <c r="F186" s="1"/>
    </row>
    <row r="187">
      <c r="B187" s="10"/>
      <c r="C187" s="10"/>
      <c r="D187" s="10"/>
      <c r="E187" s="1"/>
      <c r="F187" s="1"/>
    </row>
    <row r="188">
      <c r="B188" s="10"/>
      <c r="C188" s="10"/>
      <c r="D188" s="10"/>
      <c r="E188" s="1"/>
      <c r="F188" s="1"/>
    </row>
    <row r="189">
      <c r="B189" s="10"/>
      <c r="C189" s="10"/>
      <c r="D189" s="10"/>
      <c r="E189" s="1"/>
      <c r="F189" s="1"/>
    </row>
    <row r="190">
      <c r="B190" s="10"/>
      <c r="C190" s="10"/>
      <c r="D190" s="10"/>
      <c r="E190" s="1"/>
      <c r="F190" s="1"/>
    </row>
    <row r="191">
      <c r="B191" s="10"/>
      <c r="C191" s="10"/>
      <c r="D191" s="10"/>
      <c r="E191" s="1"/>
      <c r="F191" s="1"/>
    </row>
    <row r="192">
      <c r="B192" s="10"/>
      <c r="C192" s="10"/>
      <c r="D192" s="10"/>
      <c r="E192" s="1"/>
      <c r="F192" s="1"/>
    </row>
    <row r="193">
      <c r="B193" s="10"/>
      <c r="C193" s="10"/>
      <c r="D193" s="10"/>
      <c r="E193" s="1"/>
      <c r="F193" s="1"/>
    </row>
    <row r="194">
      <c r="B194" s="10"/>
      <c r="C194" s="10"/>
      <c r="D194" s="10"/>
      <c r="E194" s="1"/>
      <c r="F194" s="1"/>
    </row>
    <row r="195">
      <c r="B195" s="10"/>
      <c r="C195" s="10"/>
      <c r="D195" s="10"/>
      <c r="E195" s="1"/>
      <c r="F195" s="1"/>
    </row>
    <row r="196">
      <c r="B196" s="10"/>
      <c r="C196" s="10"/>
      <c r="D196" s="10"/>
      <c r="E196" s="1"/>
      <c r="F196" s="1"/>
    </row>
    <row r="197">
      <c r="B197" s="10"/>
      <c r="C197" s="10"/>
      <c r="D197" s="10"/>
      <c r="E197" s="1"/>
      <c r="F197" s="1"/>
    </row>
    <row r="198">
      <c r="B198" s="10"/>
      <c r="C198" s="10"/>
      <c r="D198" s="10"/>
      <c r="E198" s="1"/>
      <c r="F198" s="1"/>
    </row>
    <row r="199">
      <c r="B199" s="10"/>
      <c r="C199" s="10"/>
      <c r="D199" s="10"/>
      <c r="E199" s="1"/>
      <c r="F199" s="1"/>
    </row>
    <row r="200">
      <c r="B200" s="10"/>
      <c r="C200" s="10"/>
      <c r="D200" s="10"/>
      <c r="E200" s="1"/>
      <c r="F200" s="1"/>
    </row>
    <row r="201">
      <c r="B201" s="10"/>
      <c r="C201" s="10"/>
      <c r="D201" s="10"/>
      <c r="E201" s="1"/>
      <c r="F201" s="1"/>
    </row>
    <row r="202">
      <c r="B202" s="10"/>
      <c r="C202" s="10"/>
      <c r="D202" s="10"/>
      <c r="E202" s="1"/>
      <c r="F202" s="1"/>
    </row>
    <row r="203">
      <c r="B203" s="10"/>
      <c r="C203" s="10"/>
      <c r="D203" s="10"/>
      <c r="E203" s="1"/>
      <c r="F203" s="1"/>
    </row>
    <row r="204">
      <c r="B204" s="10"/>
      <c r="C204" s="10"/>
      <c r="D204" s="10"/>
      <c r="E204" s="1"/>
      <c r="F204" s="1"/>
    </row>
    <row r="205">
      <c r="B205" s="10"/>
      <c r="C205" s="10"/>
      <c r="D205" s="10"/>
      <c r="E205" s="1"/>
      <c r="F205" s="1"/>
    </row>
    <row r="206">
      <c r="B206" s="10"/>
      <c r="C206" s="10"/>
      <c r="D206" s="10"/>
      <c r="E206" s="1"/>
      <c r="F206" s="1"/>
    </row>
    <row r="207">
      <c r="B207" s="10"/>
      <c r="C207" s="10"/>
      <c r="D207" s="10"/>
      <c r="E207" s="1"/>
      <c r="F207" s="1"/>
    </row>
    <row r="208">
      <c r="B208" s="10"/>
      <c r="C208" s="10"/>
      <c r="D208" s="10"/>
      <c r="E208" s="1"/>
      <c r="F208" s="1"/>
    </row>
    <row r="209">
      <c r="B209" s="10"/>
      <c r="C209" s="10"/>
      <c r="D209" s="10"/>
      <c r="E209" s="1"/>
      <c r="F209" s="1"/>
    </row>
    <row r="210">
      <c r="B210" s="10"/>
      <c r="C210" s="10"/>
      <c r="D210" s="10"/>
      <c r="E210" s="1"/>
      <c r="F210" s="1"/>
    </row>
    <row r="211">
      <c r="B211" s="10"/>
      <c r="C211" s="10"/>
      <c r="D211" s="10"/>
      <c r="E211" s="1"/>
      <c r="F211" s="1"/>
    </row>
    <row r="212">
      <c r="B212" s="10"/>
      <c r="C212" s="10"/>
      <c r="D212" s="10"/>
      <c r="E212" s="1"/>
      <c r="F212" s="1"/>
    </row>
    <row r="213">
      <c r="B213" s="10"/>
      <c r="C213" s="10"/>
      <c r="D213" s="10"/>
      <c r="E213" s="1"/>
      <c r="F213" s="1"/>
    </row>
    <row r="214">
      <c r="B214" s="10"/>
      <c r="C214" s="10"/>
      <c r="D214" s="10"/>
      <c r="E214" s="1"/>
      <c r="F214" s="1"/>
    </row>
    <row r="215">
      <c r="B215" s="10"/>
      <c r="C215" s="10"/>
      <c r="D215" s="10"/>
      <c r="E215" s="1"/>
      <c r="F215" s="1"/>
    </row>
    <row r="216">
      <c r="B216" s="10"/>
      <c r="C216" s="10"/>
      <c r="D216" s="10"/>
      <c r="E216" s="1"/>
      <c r="F216" s="1"/>
    </row>
    <row r="217">
      <c r="B217" s="10"/>
      <c r="C217" s="10"/>
      <c r="D217" s="10"/>
      <c r="E217" s="1"/>
      <c r="F217" s="1"/>
    </row>
    <row r="218">
      <c r="B218" s="10"/>
      <c r="C218" s="10"/>
      <c r="D218" s="10"/>
      <c r="E218" s="1"/>
      <c r="F218" s="1"/>
    </row>
    <row r="219">
      <c r="B219" s="10"/>
      <c r="C219" s="10"/>
      <c r="D219" s="10"/>
      <c r="E219" s="1"/>
      <c r="F219" s="1"/>
    </row>
    <row r="220">
      <c r="B220" s="10"/>
      <c r="C220" s="10"/>
      <c r="D220" s="10"/>
      <c r="E220" s="1"/>
      <c r="F220" s="1"/>
    </row>
    <row r="221">
      <c r="B221" s="10"/>
      <c r="C221" s="10"/>
      <c r="D221" s="10"/>
      <c r="E221" s="1"/>
      <c r="F221" s="1"/>
    </row>
    <row r="222">
      <c r="B222" s="10"/>
      <c r="C222" s="10"/>
      <c r="D222" s="10"/>
      <c r="E222" s="1"/>
      <c r="F222" s="1"/>
    </row>
    <row r="223">
      <c r="B223" s="10"/>
      <c r="C223" s="10"/>
      <c r="D223" s="10"/>
      <c r="E223" s="1"/>
      <c r="F223" s="1"/>
    </row>
    <row r="224">
      <c r="B224" s="10"/>
      <c r="C224" s="10"/>
      <c r="D224" s="10"/>
      <c r="E224" s="1"/>
      <c r="F224" s="1"/>
    </row>
    <row r="225">
      <c r="B225" s="10"/>
      <c r="C225" s="10"/>
      <c r="D225" s="10"/>
      <c r="E225" s="1"/>
      <c r="F225" s="1"/>
    </row>
    <row r="226">
      <c r="B226" s="10"/>
      <c r="C226" s="10"/>
      <c r="D226" s="10"/>
      <c r="E226" s="1"/>
      <c r="F226" s="1"/>
    </row>
    <row r="227">
      <c r="B227" s="10"/>
      <c r="C227" s="10"/>
      <c r="D227" s="10"/>
      <c r="E227" s="1"/>
      <c r="F227" s="1"/>
    </row>
    <row r="228">
      <c r="B228" s="10"/>
      <c r="C228" s="10"/>
      <c r="D228" s="10"/>
      <c r="E228" s="1"/>
      <c r="F228" s="1"/>
    </row>
    <row r="229">
      <c r="B229" s="10"/>
      <c r="C229" s="10"/>
      <c r="D229" s="10"/>
      <c r="E229" s="1"/>
      <c r="F229" s="1"/>
    </row>
    <row r="230">
      <c r="B230" s="10"/>
      <c r="C230" s="10"/>
      <c r="D230" s="10"/>
      <c r="E230" s="1"/>
      <c r="F230" s="1"/>
    </row>
    <row r="231">
      <c r="B231" s="10"/>
      <c r="C231" s="10"/>
      <c r="D231" s="10"/>
      <c r="E231" s="1"/>
      <c r="F231" s="1"/>
    </row>
    <row r="232">
      <c r="B232" s="10"/>
      <c r="C232" s="10"/>
      <c r="D232" s="10"/>
      <c r="E232" s="1"/>
      <c r="F232" s="1"/>
    </row>
    <row r="233">
      <c r="B233" s="10"/>
      <c r="C233" s="10"/>
      <c r="D233" s="10"/>
      <c r="E233" s="1"/>
      <c r="F233" s="1"/>
    </row>
    <row r="234">
      <c r="B234" s="10"/>
      <c r="C234" s="10"/>
      <c r="D234" s="10"/>
      <c r="E234" s="1"/>
      <c r="F234" s="1"/>
    </row>
    <row r="235">
      <c r="B235" s="10"/>
      <c r="C235" s="10"/>
      <c r="D235" s="10"/>
      <c r="E235" s="1"/>
      <c r="F235" s="1"/>
    </row>
    <row r="236">
      <c r="B236" s="10"/>
      <c r="C236" s="10"/>
      <c r="D236" s="10"/>
      <c r="E236" s="1"/>
      <c r="F236" s="1"/>
    </row>
    <row r="237">
      <c r="B237" s="10"/>
      <c r="C237" s="10"/>
      <c r="D237" s="10"/>
      <c r="E237" s="1"/>
      <c r="F237" s="1"/>
    </row>
    <row r="238">
      <c r="B238" s="10"/>
      <c r="C238" s="10"/>
      <c r="D238" s="10"/>
      <c r="E238" s="1"/>
      <c r="F238" s="1"/>
    </row>
    <row r="239">
      <c r="B239" s="10"/>
      <c r="C239" s="10"/>
      <c r="D239" s="10"/>
      <c r="E239" s="1"/>
      <c r="F239" s="1"/>
    </row>
    <row r="240">
      <c r="B240" s="10"/>
      <c r="C240" s="10"/>
      <c r="D240" s="10"/>
      <c r="E240" s="1"/>
      <c r="F240" s="1"/>
    </row>
    <row r="241">
      <c r="B241" s="10"/>
      <c r="C241" s="10"/>
      <c r="D241" s="10"/>
      <c r="E241" s="1"/>
      <c r="F241" s="1"/>
    </row>
    <row r="242">
      <c r="B242" s="10"/>
      <c r="C242" s="10"/>
      <c r="D242" s="10"/>
      <c r="E242" s="1"/>
      <c r="F242" s="1"/>
    </row>
    <row r="243">
      <c r="B243" s="10"/>
      <c r="C243" s="10"/>
      <c r="D243" s="10"/>
      <c r="E243" s="1"/>
      <c r="F243" s="1"/>
    </row>
    <row r="244">
      <c r="B244" s="10"/>
      <c r="C244" s="10"/>
      <c r="D244" s="10"/>
      <c r="E244" s="1"/>
      <c r="F244" s="1"/>
    </row>
    <row r="245">
      <c r="B245" s="10"/>
      <c r="C245" s="10"/>
      <c r="D245" s="10"/>
      <c r="E245" s="1"/>
      <c r="F245" s="1"/>
    </row>
    <row r="246">
      <c r="B246" s="10"/>
      <c r="C246" s="10"/>
      <c r="D246" s="10"/>
      <c r="E246" s="1"/>
      <c r="F246" s="1"/>
    </row>
    <row r="247">
      <c r="B247" s="10"/>
      <c r="C247" s="10"/>
      <c r="D247" s="10"/>
      <c r="E247" s="1"/>
      <c r="F247" s="1"/>
    </row>
    <row r="248">
      <c r="B248" s="10"/>
      <c r="C248" s="10"/>
      <c r="D248" s="10"/>
      <c r="E248" s="1"/>
      <c r="F248" s="1"/>
    </row>
    <row r="249">
      <c r="B249" s="10"/>
      <c r="C249" s="10"/>
      <c r="D249" s="10"/>
      <c r="E249" s="1"/>
      <c r="F249" s="1"/>
    </row>
    <row r="250">
      <c r="B250" s="10"/>
      <c r="C250" s="10"/>
      <c r="D250" s="10"/>
      <c r="E250" s="1"/>
      <c r="F250" s="1"/>
    </row>
    <row r="251">
      <c r="B251" s="10"/>
      <c r="C251" s="10"/>
      <c r="D251" s="10"/>
      <c r="E251" s="1"/>
      <c r="F251" s="1"/>
    </row>
    <row r="252">
      <c r="B252" s="10"/>
      <c r="C252" s="10"/>
      <c r="D252" s="10"/>
      <c r="E252" s="1"/>
      <c r="F252" s="1"/>
    </row>
    <row r="253">
      <c r="B253" s="10"/>
      <c r="C253" s="10"/>
      <c r="D253" s="10"/>
      <c r="E253" s="1"/>
      <c r="F253" s="1"/>
    </row>
    <row r="254">
      <c r="B254" s="10"/>
      <c r="C254" s="10"/>
      <c r="D254" s="10"/>
      <c r="E254" s="1"/>
      <c r="F254" s="1"/>
    </row>
    <row r="255">
      <c r="B255" s="10"/>
      <c r="C255" s="10"/>
      <c r="D255" s="10"/>
      <c r="E255" s="1"/>
      <c r="F255" s="1"/>
    </row>
    <row r="256">
      <c r="B256" s="10"/>
      <c r="C256" s="10"/>
      <c r="D256" s="10"/>
      <c r="E256" s="1"/>
      <c r="F256" s="1"/>
    </row>
    <row r="257">
      <c r="B257" s="10"/>
      <c r="C257" s="10"/>
      <c r="D257" s="10"/>
      <c r="E257" s="1"/>
      <c r="F257" s="1"/>
    </row>
    <row r="258">
      <c r="B258" s="10"/>
      <c r="C258" s="10"/>
      <c r="D258" s="10"/>
      <c r="E258" s="1"/>
      <c r="F258" s="1"/>
    </row>
    <row r="259">
      <c r="B259" s="10"/>
      <c r="C259" s="10"/>
      <c r="D259" s="10"/>
      <c r="E259" s="1"/>
      <c r="F259" s="1"/>
    </row>
    <row r="260">
      <c r="B260" s="10"/>
      <c r="C260" s="10"/>
      <c r="D260" s="10"/>
      <c r="E260" s="1"/>
      <c r="F260" s="1"/>
    </row>
    <row r="261">
      <c r="B261" s="10"/>
      <c r="C261" s="10"/>
      <c r="D261" s="10"/>
      <c r="E261" s="1"/>
      <c r="F261" s="1"/>
    </row>
    <row r="262">
      <c r="B262" s="10"/>
      <c r="C262" s="10"/>
      <c r="D262" s="10"/>
      <c r="E262" s="1"/>
      <c r="F262" s="1"/>
    </row>
    <row r="263">
      <c r="B263" s="10"/>
      <c r="C263" s="10"/>
      <c r="D263" s="10"/>
      <c r="E263" s="1"/>
      <c r="F263" s="1"/>
    </row>
    <row r="264">
      <c r="B264" s="10"/>
      <c r="C264" s="10"/>
      <c r="D264" s="10"/>
      <c r="E264" s="1"/>
      <c r="F264" s="1"/>
    </row>
    <row r="265">
      <c r="B265" s="10"/>
      <c r="C265" s="10"/>
      <c r="D265" s="10"/>
      <c r="E265" s="1"/>
      <c r="F265" s="1"/>
    </row>
    <row r="266">
      <c r="B266" s="10"/>
      <c r="C266" s="10"/>
      <c r="D266" s="10"/>
      <c r="E266" s="1"/>
      <c r="F266" s="1"/>
    </row>
    <row r="267">
      <c r="B267" s="10"/>
      <c r="C267" s="10"/>
      <c r="D267" s="10"/>
      <c r="E267" s="1"/>
      <c r="F267" s="1"/>
    </row>
    <row r="268">
      <c r="B268" s="10"/>
      <c r="C268" s="10"/>
      <c r="D268" s="10"/>
      <c r="E268" s="1"/>
      <c r="F268" s="1"/>
    </row>
    <row r="269">
      <c r="B269" s="10"/>
      <c r="C269" s="10"/>
      <c r="D269" s="10"/>
      <c r="E269" s="1"/>
      <c r="F269" s="1"/>
    </row>
    <row r="270">
      <c r="B270" s="10"/>
      <c r="C270" s="10"/>
      <c r="D270" s="10"/>
      <c r="E270" s="1"/>
      <c r="F270" s="1"/>
    </row>
    <row r="271">
      <c r="B271" s="10"/>
      <c r="C271" s="10"/>
      <c r="D271" s="10"/>
      <c r="E271" s="1"/>
      <c r="F271" s="1"/>
    </row>
    <row r="272">
      <c r="B272" s="10"/>
      <c r="C272" s="10"/>
      <c r="D272" s="10"/>
      <c r="E272" s="1"/>
      <c r="F272" s="1"/>
    </row>
    <row r="273">
      <c r="B273" s="10"/>
      <c r="C273" s="10"/>
      <c r="D273" s="10"/>
      <c r="E273" s="1"/>
      <c r="F273" s="1"/>
    </row>
    <row r="274">
      <c r="B274" s="10"/>
      <c r="C274" s="10"/>
      <c r="D274" s="10"/>
      <c r="E274" s="1"/>
      <c r="F274" s="1"/>
    </row>
    <row r="275">
      <c r="B275" s="10"/>
      <c r="C275" s="10"/>
      <c r="D275" s="10"/>
      <c r="E275" s="1"/>
      <c r="F275" s="1"/>
    </row>
    <row r="276">
      <c r="B276" s="10"/>
      <c r="C276" s="10"/>
      <c r="D276" s="10"/>
      <c r="E276" s="1"/>
      <c r="F276" s="1"/>
    </row>
    <row r="277">
      <c r="B277" s="10"/>
      <c r="C277" s="10"/>
      <c r="D277" s="10"/>
      <c r="E277" s="1"/>
      <c r="F277" s="1"/>
    </row>
    <row r="278">
      <c r="B278" s="10"/>
      <c r="C278" s="10"/>
      <c r="D278" s="10"/>
      <c r="E278" s="1"/>
      <c r="F278" s="1"/>
    </row>
    <row r="279">
      <c r="B279" s="10"/>
      <c r="C279" s="10"/>
      <c r="D279" s="10"/>
      <c r="E279" s="1"/>
      <c r="F279" s="1"/>
    </row>
    <row r="280">
      <c r="B280" s="10"/>
      <c r="C280" s="10"/>
      <c r="D280" s="10"/>
      <c r="E280" s="1"/>
      <c r="F280" s="1"/>
    </row>
    <row r="281">
      <c r="B281" s="10"/>
      <c r="C281" s="10"/>
      <c r="D281" s="10"/>
      <c r="E281" s="1"/>
      <c r="F281" s="1"/>
    </row>
    <row r="282">
      <c r="B282" s="10"/>
      <c r="C282" s="10"/>
      <c r="D282" s="10"/>
      <c r="E282" s="1"/>
      <c r="F282" s="1"/>
    </row>
    <row r="283">
      <c r="B283" s="10"/>
      <c r="C283" s="10"/>
      <c r="D283" s="10"/>
      <c r="E283" s="1"/>
      <c r="F283" s="1"/>
    </row>
    <row r="284">
      <c r="B284" s="10"/>
      <c r="C284" s="10"/>
      <c r="D284" s="10"/>
      <c r="E284" s="1"/>
      <c r="F284" s="1"/>
    </row>
    <row r="285">
      <c r="B285" s="10"/>
      <c r="C285" s="10"/>
      <c r="D285" s="10"/>
      <c r="E285" s="1"/>
      <c r="F285" s="1"/>
    </row>
    <row r="286">
      <c r="B286" s="10"/>
      <c r="C286" s="10"/>
      <c r="D286" s="10"/>
      <c r="E286" s="1"/>
      <c r="F286" s="1"/>
    </row>
    <row r="287">
      <c r="B287" s="10"/>
      <c r="C287" s="10"/>
      <c r="D287" s="10"/>
      <c r="E287" s="1"/>
      <c r="F287" s="1"/>
    </row>
    <row r="288">
      <c r="B288" s="10"/>
      <c r="C288" s="10"/>
      <c r="D288" s="10"/>
      <c r="E288" s="1"/>
      <c r="F288" s="1"/>
    </row>
    <row r="289">
      <c r="B289" s="10"/>
      <c r="C289" s="10"/>
      <c r="D289" s="10"/>
      <c r="E289" s="1"/>
      <c r="F289" s="1"/>
    </row>
    <row r="290">
      <c r="B290" s="10"/>
      <c r="C290" s="10"/>
      <c r="D290" s="10"/>
      <c r="E290" s="1"/>
      <c r="F290" s="1"/>
    </row>
    <row r="291">
      <c r="B291" s="10"/>
      <c r="C291" s="10"/>
      <c r="D291" s="10"/>
      <c r="E291" s="1"/>
      <c r="F291" s="1"/>
    </row>
    <row r="292">
      <c r="B292" s="10"/>
      <c r="C292" s="10"/>
      <c r="D292" s="10"/>
      <c r="E292" s="1"/>
      <c r="F292" s="1"/>
    </row>
    <row r="293">
      <c r="B293" s="10"/>
      <c r="C293" s="10"/>
      <c r="D293" s="10"/>
      <c r="E293" s="1"/>
      <c r="F293" s="1"/>
    </row>
    <row r="294">
      <c r="B294" s="10"/>
      <c r="C294" s="10"/>
      <c r="D294" s="10"/>
      <c r="E294" s="1"/>
      <c r="F294" s="1"/>
    </row>
    <row r="295">
      <c r="B295" s="10"/>
      <c r="C295" s="10"/>
      <c r="D295" s="10"/>
      <c r="E295" s="1"/>
      <c r="F295" s="1"/>
    </row>
    <row r="296">
      <c r="B296" s="10"/>
      <c r="C296" s="10"/>
      <c r="D296" s="10"/>
      <c r="E296" s="1"/>
      <c r="F296" s="1"/>
    </row>
    <row r="297">
      <c r="B297" s="10"/>
      <c r="C297" s="10"/>
      <c r="D297" s="10"/>
      <c r="E297" s="1"/>
      <c r="F297" s="1"/>
    </row>
    <row r="298">
      <c r="B298" s="10"/>
      <c r="C298" s="10"/>
      <c r="D298" s="10"/>
      <c r="E298" s="1"/>
      <c r="F298" s="1"/>
    </row>
    <row r="299">
      <c r="B299" s="10"/>
      <c r="C299" s="10"/>
      <c r="D299" s="10"/>
      <c r="E299" s="1"/>
      <c r="F299" s="1"/>
    </row>
    <row r="300">
      <c r="B300" s="10"/>
      <c r="C300" s="10"/>
      <c r="D300" s="10"/>
      <c r="E300" s="1"/>
      <c r="F300" s="1"/>
    </row>
    <row r="301">
      <c r="B301" s="10"/>
      <c r="C301" s="10"/>
      <c r="D301" s="10"/>
      <c r="E301" s="1"/>
      <c r="F301" s="1"/>
    </row>
    <row r="302">
      <c r="B302" s="10"/>
      <c r="C302" s="10"/>
      <c r="D302" s="10"/>
      <c r="E302" s="1"/>
      <c r="F302" s="1"/>
    </row>
    <row r="303">
      <c r="B303" s="10"/>
      <c r="C303" s="10"/>
      <c r="D303" s="10"/>
      <c r="E303" s="1"/>
      <c r="F303" s="1"/>
    </row>
    <row r="304">
      <c r="B304" s="10"/>
      <c r="C304" s="10"/>
      <c r="D304" s="10"/>
      <c r="E304" s="1"/>
      <c r="F304" s="1"/>
    </row>
    <row r="305">
      <c r="B305" s="10"/>
      <c r="C305" s="10"/>
      <c r="D305" s="10"/>
      <c r="E305" s="1"/>
      <c r="F305" s="1"/>
    </row>
    <row r="306">
      <c r="B306" s="10"/>
      <c r="C306" s="10"/>
      <c r="D306" s="10"/>
      <c r="E306" s="1"/>
      <c r="F306" s="1"/>
    </row>
    <row r="307">
      <c r="B307" s="10"/>
      <c r="C307" s="10"/>
      <c r="D307" s="10"/>
      <c r="E307" s="1"/>
      <c r="F307" s="1"/>
    </row>
    <row r="308">
      <c r="B308" s="10"/>
      <c r="C308" s="10"/>
      <c r="D308" s="10"/>
      <c r="E308" s="1"/>
      <c r="F308" s="1"/>
    </row>
    <row r="309">
      <c r="B309" s="10"/>
      <c r="C309" s="10"/>
      <c r="D309" s="10"/>
      <c r="E309" s="1"/>
      <c r="F309" s="1"/>
    </row>
    <row r="310">
      <c r="B310" s="10"/>
      <c r="C310" s="10"/>
      <c r="D310" s="10"/>
      <c r="E310" s="1"/>
      <c r="F310" s="1"/>
    </row>
    <row r="311">
      <c r="B311" s="10"/>
      <c r="C311" s="10"/>
      <c r="D311" s="10"/>
      <c r="E311" s="1"/>
      <c r="F311" s="1"/>
    </row>
    <row r="312">
      <c r="B312" s="10"/>
      <c r="C312" s="10"/>
      <c r="D312" s="10"/>
      <c r="E312" s="1"/>
      <c r="F312" s="1"/>
    </row>
    <row r="313">
      <c r="B313" s="10"/>
      <c r="C313" s="10"/>
      <c r="D313" s="10"/>
      <c r="E313" s="1"/>
      <c r="F313" s="1"/>
    </row>
    <row r="314">
      <c r="B314" s="10"/>
      <c r="C314" s="10"/>
      <c r="D314" s="10"/>
      <c r="E314" s="1"/>
      <c r="F314" s="1"/>
    </row>
    <row r="315">
      <c r="B315" s="10"/>
      <c r="C315" s="10"/>
      <c r="D315" s="10"/>
      <c r="E315" s="1"/>
      <c r="F315" s="1"/>
    </row>
    <row r="316">
      <c r="B316" s="10"/>
      <c r="C316" s="10"/>
      <c r="D316" s="10"/>
      <c r="E316" s="1"/>
      <c r="F316" s="1"/>
    </row>
    <row r="317">
      <c r="B317" s="10"/>
      <c r="C317" s="10"/>
      <c r="D317" s="10"/>
      <c r="E317" s="1"/>
      <c r="F317" s="1"/>
    </row>
    <row r="318">
      <c r="B318" s="10"/>
      <c r="C318" s="10"/>
      <c r="D318" s="10"/>
      <c r="E318" s="1"/>
      <c r="F318" s="1"/>
    </row>
    <row r="319">
      <c r="B319" s="10"/>
      <c r="C319" s="10"/>
      <c r="D319" s="10"/>
      <c r="E319" s="1"/>
      <c r="F319" s="1"/>
    </row>
    <row r="320">
      <c r="B320" s="10"/>
      <c r="C320" s="10"/>
      <c r="D320" s="10"/>
      <c r="E320" s="1"/>
      <c r="F320" s="1"/>
    </row>
    <row r="321">
      <c r="B321" s="10"/>
      <c r="C321" s="10"/>
      <c r="D321" s="10"/>
      <c r="E321" s="1"/>
      <c r="F321" s="1"/>
    </row>
    <row r="322">
      <c r="B322" s="10"/>
      <c r="C322" s="10"/>
      <c r="D322" s="10"/>
      <c r="E322" s="1"/>
      <c r="F322" s="1"/>
    </row>
    <row r="323">
      <c r="B323" s="10"/>
      <c r="C323" s="10"/>
      <c r="D323" s="10"/>
      <c r="E323" s="1"/>
      <c r="F323" s="1"/>
    </row>
    <row r="324">
      <c r="B324" s="10"/>
      <c r="C324" s="10"/>
      <c r="D324" s="10"/>
      <c r="E324" s="1"/>
      <c r="F324" s="1"/>
    </row>
    <row r="325">
      <c r="B325" s="10"/>
      <c r="C325" s="10"/>
      <c r="D325" s="10"/>
      <c r="E325" s="1"/>
      <c r="F325" s="1"/>
    </row>
    <row r="326">
      <c r="B326" s="10"/>
      <c r="C326" s="10"/>
      <c r="D326" s="10"/>
      <c r="E326" s="1"/>
      <c r="F326" s="1"/>
    </row>
    <row r="327">
      <c r="B327" s="10"/>
      <c r="C327" s="10"/>
      <c r="D327" s="10"/>
      <c r="E327" s="1"/>
      <c r="F327" s="1"/>
    </row>
    <row r="328">
      <c r="B328" s="10"/>
      <c r="C328" s="10"/>
      <c r="D328" s="10"/>
      <c r="E328" s="1"/>
      <c r="F328" s="1"/>
    </row>
    <row r="329">
      <c r="B329" s="10"/>
      <c r="C329" s="10"/>
      <c r="D329" s="10"/>
      <c r="E329" s="1"/>
      <c r="F329" s="1"/>
    </row>
    <row r="330">
      <c r="B330" s="10"/>
      <c r="C330" s="10"/>
      <c r="D330" s="10"/>
      <c r="E330" s="1"/>
      <c r="F330" s="1"/>
    </row>
    <row r="331">
      <c r="B331" s="10"/>
      <c r="C331" s="10"/>
      <c r="D331" s="10"/>
      <c r="E331" s="1"/>
      <c r="F331" s="1"/>
    </row>
    <row r="332">
      <c r="B332" s="10"/>
      <c r="C332" s="10"/>
      <c r="D332" s="10"/>
      <c r="E332" s="1"/>
      <c r="F332" s="1"/>
    </row>
    <row r="333">
      <c r="B333" s="10"/>
      <c r="C333" s="10"/>
      <c r="D333" s="10"/>
      <c r="E333" s="1"/>
      <c r="F333" s="1"/>
    </row>
    <row r="334">
      <c r="B334" s="10"/>
      <c r="C334" s="10"/>
      <c r="D334" s="10"/>
      <c r="E334" s="1"/>
      <c r="F334" s="1"/>
    </row>
    <row r="335">
      <c r="B335" s="10"/>
      <c r="C335" s="10"/>
      <c r="D335" s="10"/>
      <c r="E335" s="1"/>
      <c r="F335" s="1"/>
    </row>
    <row r="336">
      <c r="B336" s="10"/>
      <c r="C336" s="10"/>
      <c r="D336" s="10"/>
      <c r="E336" s="1"/>
      <c r="F336" s="1"/>
    </row>
    <row r="337">
      <c r="B337" s="10"/>
      <c r="C337" s="10"/>
      <c r="D337" s="10"/>
      <c r="E337" s="1"/>
      <c r="F337" s="1"/>
    </row>
    <row r="338">
      <c r="B338" s="10"/>
      <c r="C338" s="10"/>
      <c r="D338" s="10"/>
      <c r="E338" s="1"/>
      <c r="F338" s="1"/>
    </row>
    <row r="339">
      <c r="B339" s="10"/>
      <c r="C339" s="10"/>
      <c r="D339" s="10"/>
      <c r="E339" s="1"/>
      <c r="F339" s="1"/>
    </row>
    <row r="340">
      <c r="B340" s="10"/>
      <c r="C340" s="10"/>
      <c r="D340" s="10"/>
      <c r="E340" s="1"/>
      <c r="F340" s="1"/>
    </row>
    <row r="341">
      <c r="B341" s="10"/>
      <c r="C341" s="10"/>
      <c r="D341" s="10"/>
      <c r="E341" s="1"/>
      <c r="F341" s="1"/>
    </row>
    <row r="342">
      <c r="B342" s="10"/>
      <c r="C342" s="10"/>
      <c r="D342" s="10"/>
      <c r="E342" s="1"/>
      <c r="F342" s="1"/>
    </row>
    <row r="343">
      <c r="B343" s="10"/>
      <c r="C343" s="10"/>
      <c r="D343" s="10"/>
      <c r="E343" s="1"/>
      <c r="F343" s="1"/>
    </row>
    <row r="344">
      <c r="B344" s="10"/>
      <c r="C344" s="10"/>
      <c r="D344" s="10"/>
      <c r="E344" s="1"/>
      <c r="F344" s="1"/>
    </row>
    <row r="345">
      <c r="B345" s="10"/>
      <c r="C345" s="10"/>
      <c r="D345" s="10"/>
      <c r="E345" s="1"/>
      <c r="F345" s="1"/>
    </row>
    <row r="346">
      <c r="B346" s="10"/>
      <c r="C346" s="10"/>
      <c r="D346" s="10"/>
      <c r="E346" s="1"/>
      <c r="F346" s="1"/>
    </row>
    <row r="347">
      <c r="B347" s="10"/>
      <c r="C347" s="10"/>
      <c r="D347" s="10"/>
      <c r="E347" s="1"/>
      <c r="F347" s="1"/>
    </row>
    <row r="348">
      <c r="B348" s="10"/>
      <c r="C348" s="10"/>
      <c r="D348" s="10"/>
      <c r="E348" s="1"/>
      <c r="F348" s="1"/>
    </row>
    <row r="349">
      <c r="B349" s="10"/>
      <c r="C349" s="10"/>
      <c r="D349" s="10"/>
      <c r="E349" s="1"/>
      <c r="F349" s="1"/>
    </row>
    <row r="350">
      <c r="B350" s="10"/>
      <c r="C350" s="10"/>
      <c r="D350" s="10"/>
      <c r="E350" s="1"/>
      <c r="F350" s="1"/>
    </row>
    <row r="351">
      <c r="B351" s="10"/>
      <c r="C351" s="10"/>
      <c r="D351" s="10"/>
      <c r="E351" s="1"/>
      <c r="F351" s="1"/>
    </row>
    <row r="352">
      <c r="B352" s="10"/>
      <c r="C352" s="10"/>
      <c r="D352" s="10"/>
      <c r="E352" s="1"/>
      <c r="F352" s="1"/>
    </row>
    <row r="353">
      <c r="B353" s="10"/>
      <c r="C353" s="10"/>
      <c r="D353" s="10"/>
      <c r="E353" s="1"/>
      <c r="F353" s="1"/>
    </row>
    <row r="354">
      <c r="B354" s="10"/>
      <c r="C354" s="10"/>
      <c r="D354" s="10"/>
      <c r="E354" s="1"/>
      <c r="F354" s="1"/>
    </row>
    <row r="355">
      <c r="B355" s="10"/>
      <c r="C355" s="10"/>
      <c r="D355" s="10"/>
      <c r="E355" s="1"/>
      <c r="F355" s="1"/>
    </row>
    <row r="356">
      <c r="B356" s="10"/>
      <c r="C356" s="10"/>
      <c r="D356" s="10"/>
      <c r="E356" s="1"/>
      <c r="F356" s="1"/>
    </row>
    <row r="357">
      <c r="B357" s="10"/>
      <c r="C357" s="10"/>
      <c r="D357" s="10"/>
      <c r="E357" s="1"/>
      <c r="F357" s="1"/>
    </row>
    <row r="358">
      <c r="B358" s="10"/>
      <c r="C358" s="10"/>
      <c r="D358" s="10"/>
      <c r="E358" s="1"/>
      <c r="F358" s="1"/>
    </row>
    <row r="359">
      <c r="B359" s="10"/>
      <c r="C359" s="10"/>
      <c r="D359" s="10"/>
      <c r="E359" s="1"/>
      <c r="F359" s="1"/>
    </row>
    <row r="360">
      <c r="B360" s="10"/>
      <c r="C360" s="10"/>
      <c r="D360" s="10"/>
      <c r="E360" s="1"/>
      <c r="F360" s="1"/>
    </row>
    <row r="361">
      <c r="B361" s="10"/>
      <c r="C361" s="10"/>
      <c r="D361" s="10"/>
      <c r="E361" s="1"/>
      <c r="F361" s="1"/>
    </row>
    <row r="362">
      <c r="B362" s="10"/>
      <c r="C362" s="10"/>
      <c r="D362" s="10"/>
      <c r="E362" s="1"/>
      <c r="F362" s="1"/>
    </row>
    <row r="363">
      <c r="B363" s="10"/>
      <c r="C363" s="10"/>
      <c r="D363" s="10"/>
      <c r="E363" s="1"/>
      <c r="F363" s="1"/>
    </row>
    <row r="364">
      <c r="B364" s="10"/>
      <c r="C364" s="10"/>
      <c r="D364" s="10"/>
      <c r="E364" s="1"/>
      <c r="F364" s="1"/>
    </row>
    <row r="365">
      <c r="B365" s="10"/>
      <c r="C365" s="10"/>
      <c r="D365" s="10"/>
      <c r="E365" s="1"/>
      <c r="F365" s="1"/>
    </row>
    <row r="366">
      <c r="B366" s="10"/>
      <c r="C366" s="10"/>
      <c r="D366" s="10"/>
      <c r="E366" s="1"/>
      <c r="F366" s="1"/>
    </row>
    <row r="367">
      <c r="B367" s="10"/>
      <c r="C367" s="10"/>
      <c r="D367" s="10"/>
      <c r="E367" s="1"/>
      <c r="F367" s="1"/>
    </row>
    <row r="368">
      <c r="B368" s="10"/>
      <c r="C368" s="10"/>
      <c r="D368" s="10"/>
      <c r="E368" s="1"/>
      <c r="F368" s="1"/>
    </row>
    <row r="369">
      <c r="B369" s="10"/>
      <c r="C369" s="10"/>
      <c r="D369" s="10"/>
      <c r="E369" s="1"/>
      <c r="F369" s="1"/>
    </row>
    <row r="370">
      <c r="B370" s="10"/>
      <c r="C370" s="10"/>
      <c r="D370" s="10"/>
      <c r="E370" s="1"/>
      <c r="F370" s="1"/>
    </row>
    <row r="371">
      <c r="B371" s="10"/>
      <c r="C371" s="10"/>
      <c r="D371" s="10"/>
      <c r="E371" s="1"/>
      <c r="F371" s="1"/>
    </row>
    <row r="372">
      <c r="B372" s="10"/>
      <c r="C372" s="10"/>
      <c r="D372" s="10"/>
      <c r="E372" s="1"/>
      <c r="F372" s="1"/>
    </row>
    <row r="373">
      <c r="B373" s="10"/>
      <c r="C373" s="10"/>
      <c r="D373" s="10"/>
      <c r="E373" s="1"/>
      <c r="F373" s="1"/>
    </row>
    <row r="374">
      <c r="B374" s="10"/>
      <c r="C374" s="10"/>
      <c r="D374" s="10"/>
      <c r="E374" s="1"/>
      <c r="F374" s="1"/>
    </row>
    <row r="375">
      <c r="B375" s="10"/>
      <c r="C375" s="10"/>
      <c r="D375" s="10"/>
      <c r="E375" s="1"/>
      <c r="F375" s="1"/>
    </row>
    <row r="376">
      <c r="B376" s="10"/>
      <c r="C376" s="10"/>
      <c r="D376" s="10"/>
      <c r="E376" s="1"/>
      <c r="F376" s="1"/>
    </row>
    <row r="377">
      <c r="B377" s="10"/>
      <c r="C377" s="10"/>
      <c r="D377" s="10"/>
      <c r="E377" s="1"/>
      <c r="F377" s="1"/>
    </row>
    <row r="378">
      <c r="B378" s="10"/>
      <c r="C378" s="10"/>
      <c r="D378" s="10"/>
      <c r="E378" s="1"/>
      <c r="F378" s="1"/>
    </row>
    <row r="379">
      <c r="B379" s="10"/>
      <c r="C379" s="10"/>
      <c r="D379" s="10"/>
      <c r="E379" s="1"/>
      <c r="F379" s="1"/>
    </row>
    <row r="380">
      <c r="B380" s="10"/>
      <c r="C380" s="10"/>
      <c r="D380" s="10"/>
      <c r="E380" s="1"/>
      <c r="F380" s="1"/>
    </row>
    <row r="381">
      <c r="B381" s="10"/>
      <c r="C381" s="10"/>
      <c r="D381" s="10"/>
      <c r="E381" s="1"/>
      <c r="F381" s="1"/>
    </row>
    <row r="382">
      <c r="B382" s="10"/>
      <c r="C382" s="10"/>
      <c r="D382" s="10"/>
      <c r="E382" s="1"/>
      <c r="F382" s="1"/>
    </row>
    <row r="383">
      <c r="B383" s="10"/>
      <c r="C383" s="10"/>
      <c r="D383" s="10"/>
      <c r="E383" s="1"/>
      <c r="F383" s="1"/>
    </row>
    <row r="384">
      <c r="B384" s="10"/>
      <c r="C384" s="10"/>
      <c r="D384" s="10"/>
      <c r="E384" s="1"/>
      <c r="F384" s="1"/>
    </row>
    <row r="385">
      <c r="B385" s="10"/>
      <c r="C385" s="10"/>
      <c r="D385" s="10"/>
      <c r="E385" s="1"/>
      <c r="F385" s="1"/>
    </row>
    <row r="386">
      <c r="B386" s="10"/>
      <c r="C386" s="10"/>
      <c r="D386" s="10"/>
      <c r="E386" s="1"/>
      <c r="F386" s="1"/>
    </row>
    <row r="387">
      <c r="B387" s="10"/>
      <c r="C387" s="10"/>
      <c r="D387" s="10"/>
      <c r="E387" s="1"/>
      <c r="F387" s="1"/>
    </row>
    <row r="388">
      <c r="B388" s="10"/>
      <c r="C388" s="10"/>
      <c r="D388" s="10"/>
      <c r="E388" s="1"/>
      <c r="F388" s="1"/>
    </row>
    <row r="389">
      <c r="B389" s="10"/>
      <c r="C389" s="10"/>
      <c r="D389" s="10"/>
      <c r="E389" s="1"/>
      <c r="F389" s="1"/>
    </row>
    <row r="390">
      <c r="B390" s="10"/>
      <c r="C390" s="10"/>
      <c r="D390" s="10"/>
      <c r="E390" s="1"/>
      <c r="F390" s="1"/>
    </row>
    <row r="391">
      <c r="B391" s="10"/>
      <c r="C391" s="10"/>
      <c r="D391" s="10"/>
      <c r="E391" s="1"/>
      <c r="F391" s="1"/>
    </row>
    <row r="392">
      <c r="B392" s="10"/>
      <c r="C392" s="10"/>
      <c r="D392" s="10"/>
      <c r="E392" s="1"/>
      <c r="F392" s="1"/>
    </row>
    <row r="393">
      <c r="B393" s="10"/>
      <c r="C393" s="10"/>
      <c r="D393" s="10"/>
      <c r="E393" s="1"/>
      <c r="F393" s="1"/>
    </row>
    <row r="394">
      <c r="B394" s="10"/>
      <c r="C394" s="10"/>
      <c r="D394" s="10"/>
      <c r="E394" s="1"/>
      <c r="F394" s="1"/>
    </row>
    <row r="395">
      <c r="B395" s="10"/>
      <c r="C395" s="10"/>
      <c r="D395" s="10"/>
      <c r="E395" s="1"/>
      <c r="F395" s="1"/>
    </row>
    <row r="396">
      <c r="B396" s="10"/>
      <c r="C396" s="10"/>
      <c r="D396" s="10"/>
      <c r="E396" s="1"/>
      <c r="F396" s="1"/>
    </row>
    <row r="397">
      <c r="B397" s="10"/>
      <c r="C397" s="10"/>
      <c r="D397" s="10"/>
      <c r="E397" s="1"/>
      <c r="F397" s="1"/>
    </row>
    <row r="398">
      <c r="B398" s="10"/>
      <c r="C398" s="10"/>
      <c r="D398" s="10"/>
      <c r="E398" s="1"/>
      <c r="F398" s="1"/>
    </row>
    <row r="399">
      <c r="B399" s="10"/>
      <c r="C399" s="10"/>
      <c r="D399" s="10"/>
      <c r="E399" s="1"/>
      <c r="F399" s="1"/>
    </row>
    <row r="400">
      <c r="B400" s="10"/>
      <c r="C400" s="10"/>
      <c r="D400" s="10"/>
      <c r="E400" s="1"/>
      <c r="F400" s="1"/>
    </row>
    <row r="401">
      <c r="B401" s="10"/>
      <c r="C401" s="10"/>
      <c r="D401" s="10"/>
      <c r="E401" s="1"/>
      <c r="F401" s="1"/>
    </row>
    <row r="402">
      <c r="B402" s="10"/>
      <c r="C402" s="10"/>
      <c r="D402" s="10"/>
      <c r="E402" s="1"/>
      <c r="F402" s="1"/>
    </row>
    <row r="403">
      <c r="B403" s="10"/>
      <c r="C403" s="10"/>
      <c r="D403" s="10"/>
      <c r="E403" s="1"/>
      <c r="F403" s="1"/>
    </row>
    <row r="404">
      <c r="B404" s="10"/>
      <c r="C404" s="10"/>
      <c r="D404" s="10"/>
      <c r="E404" s="1"/>
      <c r="F404" s="1"/>
    </row>
    <row r="405">
      <c r="B405" s="10"/>
      <c r="C405" s="10"/>
      <c r="D405" s="10"/>
      <c r="E405" s="1"/>
      <c r="F405" s="1"/>
    </row>
    <row r="406">
      <c r="B406" s="10"/>
      <c r="C406" s="10"/>
      <c r="D406" s="10"/>
      <c r="E406" s="1"/>
      <c r="F406" s="1"/>
    </row>
    <row r="407">
      <c r="B407" s="10"/>
      <c r="C407" s="10"/>
      <c r="D407" s="10"/>
      <c r="E407" s="1"/>
      <c r="F407" s="1"/>
    </row>
    <row r="408">
      <c r="B408" s="10"/>
      <c r="C408" s="10"/>
      <c r="D408" s="10"/>
      <c r="E408" s="1"/>
      <c r="F408" s="1"/>
    </row>
    <row r="409">
      <c r="B409" s="10"/>
      <c r="C409" s="10"/>
      <c r="D409" s="10"/>
      <c r="E409" s="1"/>
      <c r="F409" s="1"/>
    </row>
    <row r="410">
      <c r="B410" s="10"/>
      <c r="C410" s="10"/>
      <c r="D410" s="10"/>
      <c r="E410" s="1"/>
      <c r="F410" s="1"/>
    </row>
    <row r="411">
      <c r="B411" s="10"/>
      <c r="C411" s="10"/>
      <c r="D411" s="10"/>
      <c r="E411" s="1"/>
      <c r="F411" s="1"/>
    </row>
    <row r="412">
      <c r="B412" s="10"/>
      <c r="C412" s="10"/>
      <c r="D412" s="10"/>
      <c r="E412" s="1"/>
      <c r="F412" s="1"/>
    </row>
    <row r="413">
      <c r="B413" s="10"/>
      <c r="C413" s="10"/>
      <c r="D413" s="10"/>
      <c r="E413" s="1"/>
      <c r="F413" s="1"/>
    </row>
    <row r="414">
      <c r="B414" s="10"/>
      <c r="C414" s="10"/>
      <c r="D414" s="10"/>
      <c r="E414" s="1"/>
      <c r="F414" s="1"/>
    </row>
    <row r="415">
      <c r="B415" s="10"/>
      <c r="C415" s="10"/>
      <c r="D415" s="10"/>
      <c r="E415" s="1"/>
      <c r="F415" s="1"/>
    </row>
    <row r="416">
      <c r="B416" s="10"/>
      <c r="C416" s="10"/>
      <c r="D416" s="10"/>
      <c r="E416" s="1"/>
      <c r="F416" s="1"/>
    </row>
    <row r="417">
      <c r="B417" s="10"/>
      <c r="C417" s="10"/>
      <c r="D417" s="10"/>
      <c r="E417" s="1"/>
      <c r="F417" s="1"/>
    </row>
    <row r="418">
      <c r="B418" s="10"/>
      <c r="C418" s="10"/>
      <c r="D418" s="10"/>
      <c r="E418" s="1"/>
      <c r="F418" s="1"/>
    </row>
    <row r="419">
      <c r="B419" s="10"/>
      <c r="C419" s="10"/>
      <c r="D419" s="10"/>
      <c r="E419" s="1"/>
      <c r="F419" s="1"/>
    </row>
    <row r="420">
      <c r="B420" s="10"/>
      <c r="C420" s="10"/>
      <c r="D420" s="10"/>
      <c r="E420" s="1"/>
      <c r="F420" s="1"/>
    </row>
    <row r="421">
      <c r="B421" s="10"/>
      <c r="C421" s="10"/>
      <c r="D421" s="10"/>
      <c r="E421" s="1"/>
      <c r="F421" s="1"/>
    </row>
    <row r="422">
      <c r="B422" s="10"/>
      <c r="C422" s="10"/>
      <c r="D422" s="10"/>
      <c r="E422" s="1"/>
      <c r="F422" s="1"/>
    </row>
    <row r="423">
      <c r="B423" s="10"/>
      <c r="C423" s="10"/>
      <c r="D423" s="10"/>
      <c r="E423" s="1"/>
      <c r="F423" s="1"/>
    </row>
    <row r="424">
      <c r="B424" s="10"/>
      <c r="C424" s="10"/>
      <c r="D424" s="10"/>
      <c r="E424" s="1"/>
      <c r="F424" s="1"/>
    </row>
    <row r="425">
      <c r="B425" s="10"/>
      <c r="C425" s="10"/>
      <c r="D425" s="10"/>
      <c r="E425" s="1"/>
      <c r="F425" s="1"/>
    </row>
    <row r="426">
      <c r="B426" s="10"/>
      <c r="C426" s="10"/>
      <c r="D426" s="10"/>
      <c r="E426" s="1"/>
      <c r="F426" s="1"/>
    </row>
    <row r="427">
      <c r="B427" s="10"/>
      <c r="C427" s="10"/>
      <c r="D427" s="10"/>
      <c r="E427" s="1"/>
      <c r="F427" s="1"/>
    </row>
    <row r="428">
      <c r="B428" s="10"/>
      <c r="C428" s="10"/>
      <c r="D428" s="10"/>
      <c r="E428" s="1"/>
      <c r="F428" s="1"/>
    </row>
    <row r="429">
      <c r="B429" s="10"/>
      <c r="C429" s="10"/>
      <c r="D429" s="10"/>
      <c r="E429" s="1"/>
      <c r="F429" s="1"/>
    </row>
    <row r="430">
      <c r="B430" s="10"/>
      <c r="C430" s="10"/>
      <c r="D430" s="10"/>
      <c r="E430" s="1"/>
      <c r="F430" s="1"/>
    </row>
    <row r="431">
      <c r="B431" s="10"/>
      <c r="C431" s="10"/>
      <c r="D431" s="10"/>
      <c r="E431" s="1"/>
      <c r="F431" s="1"/>
    </row>
    <row r="432">
      <c r="B432" s="10"/>
      <c r="C432" s="10"/>
      <c r="D432" s="10"/>
      <c r="E432" s="1"/>
      <c r="F432" s="1"/>
    </row>
    <row r="433">
      <c r="B433" s="10"/>
      <c r="C433" s="10"/>
      <c r="D433" s="10"/>
      <c r="E433" s="1"/>
      <c r="F433" s="1"/>
    </row>
    <row r="434">
      <c r="B434" s="10"/>
      <c r="C434" s="10"/>
      <c r="D434" s="10"/>
      <c r="E434" s="1"/>
      <c r="F434" s="1"/>
    </row>
    <row r="435">
      <c r="B435" s="10"/>
      <c r="C435" s="10"/>
      <c r="D435" s="10"/>
      <c r="E435" s="1"/>
      <c r="F435" s="1"/>
    </row>
    <row r="436">
      <c r="B436" s="10"/>
      <c r="C436" s="10"/>
      <c r="D436" s="10"/>
      <c r="E436" s="1"/>
      <c r="F436" s="1"/>
    </row>
    <row r="437">
      <c r="B437" s="10"/>
      <c r="C437" s="10"/>
      <c r="D437" s="10"/>
      <c r="E437" s="1"/>
      <c r="F437" s="1"/>
    </row>
    <row r="438">
      <c r="B438" s="10"/>
      <c r="C438" s="10"/>
      <c r="D438" s="10"/>
      <c r="E438" s="1"/>
      <c r="F438" s="1"/>
    </row>
    <row r="439">
      <c r="B439" s="10"/>
      <c r="C439" s="10"/>
      <c r="D439" s="10"/>
      <c r="E439" s="1"/>
      <c r="F439" s="1"/>
    </row>
    <row r="440">
      <c r="B440" s="10"/>
      <c r="C440" s="10"/>
      <c r="D440" s="10"/>
      <c r="E440" s="1"/>
      <c r="F440" s="1"/>
    </row>
    <row r="441">
      <c r="B441" s="10"/>
      <c r="C441" s="10"/>
      <c r="D441" s="10"/>
      <c r="E441" s="1"/>
      <c r="F441" s="1"/>
    </row>
    <row r="442">
      <c r="B442" s="10"/>
      <c r="C442" s="10"/>
      <c r="D442" s="10"/>
      <c r="E442" s="1"/>
      <c r="F442" s="1"/>
    </row>
    <row r="443">
      <c r="B443" s="10"/>
      <c r="C443" s="10"/>
      <c r="D443" s="10"/>
      <c r="E443" s="1"/>
      <c r="F443" s="1"/>
    </row>
    <row r="444">
      <c r="B444" s="10"/>
      <c r="C444" s="10"/>
      <c r="D444" s="10"/>
      <c r="E444" s="1"/>
      <c r="F444" s="1"/>
    </row>
    <row r="445">
      <c r="B445" s="10"/>
      <c r="C445" s="10"/>
      <c r="D445" s="10"/>
      <c r="E445" s="1"/>
      <c r="F445" s="1"/>
    </row>
    <row r="446">
      <c r="B446" s="10"/>
      <c r="C446" s="10"/>
      <c r="D446" s="10"/>
      <c r="E446" s="1"/>
      <c r="F446" s="1"/>
    </row>
    <row r="447">
      <c r="B447" s="10"/>
      <c r="C447" s="10"/>
      <c r="D447" s="10"/>
      <c r="E447" s="1"/>
      <c r="F447" s="1"/>
    </row>
    <row r="448">
      <c r="B448" s="10"/>
      <c r="C448" s="10"/>
      <c r="D448" s="10"/>
      <c r="E448" s="1"/>
      <c r="F448" s="1"/>
    </row>
    <row r="449">
      <c r="B449" s="10"/>
      <c r="C449" s="10"/>
      <c r="D449" s="10"/>
      <c r="E449" s="1"/>
      <c r="F449" s="1"/>
    </row>
    <row r="450">
      <c r="B450" s="10"/>
      <c r="C450" s="10"/>
      <c r="D450" s="10"/>
      <c r="E450" s="1"/>
      <c r="F450" s="1"/>
    </row>
    <row r="451">
      <c r="B451" s="10"/>
      <c r="C451" s="10"/>
      <c r="D451" s="10"/>
      <c r="E451" s="1"/>
      <c r="F451" s="1"/>
    </row>
    <row r="452">
      <c r="B452" s="10"/>
      <c r="C452" s="10"/>
      <c r="D452" s="10"/>
      <c r="E452" s="1"/>
      <c r="F452" s="1"/>
    </row>
    <row r="453">
      <c r="B453" s="10"/>
      <c r="C453" s="10"/>
      <c r="D453" s="10"/>
      <c r="E453" s="1"/>
      <c r="F453" s="1"/>
    </row>
    <row r="454">
      <c r="B454" s="10"/>
      <c r="C454" s="10"/>
      <c r="D454" s="10"/>
      <c r="E454" s="1"/>
      <c r="F454" s="1"/>
    </row>
    <row r="455">
      <c r="B455" s="10"/>
      <c r="C455" s="10"/>
      <c r="D455" s="10"/>
      <c r="E455" s="1"/>
      <c r="F455" s="1"/>
    </row>
    <row r="456">
      <c r="B456" s="10"/>
      <c r="C456" s="10"/>
      <c r="D456" s="10"/>
      <c r="E456" s="1"/>
      <c r="F456" s="1"/>
    </row>
    <row r="457">
      <c r="B457" s="10"/>
      <c r="C457" s="10"/>
      <c r="D457" s="10"/>
      <c r="E457" s="1"/>
      <c r="F457" s="1"/>
    </row>
    <row r="458">
      <c r="B458" s="10"/>
      <c r="C458" s="10"/>
      <c r="D458" s="10"/>
      <c r="E458" s="1"/>
      <c r="F458" s="1"/>
    </row>
    <row r="459">
      <c r="B459" s="10"/>
      <c r="C459" s="10"/>
      <c r="D459" s="10"/>
      <c r="E459" s="1"/>
      <c r="F459" s="1"/>
    </row>
    <row r="460">
      <c r="B460" s="10"/>
      <c r="C460" s="10"/>
      <c r="D460" s="10"/>
      <c r="E460" s="1"/>
      <c r="F460" s="1"/>
    </row>
    <row r="461">
      <c r="B461" s="10"/>
      <c r="C461" s="10"/>
      <c r="D461" s="10"/>
      <c r="E461" s="1"/>
      <c r="F461" s="1"/>
    </row>
    <row r="462">
      <c r="B462" s="10"/>
      <c r="C462" s="10"/>
      <c r="D462" s="10"/>
      <c r="E462" s="1"/>
      <c r="F462" s="1"/>
    </row>
    <row r="463">
      <c r="B463" s="10"/>
      <c r="C463" s="10"/>
      <c r="D463" s="10"/>
      <c r="E463" s="1"/>
      <c r="F463" s="1"/>
    </row>
    <row r="464">
      <c r="B464" s="10"/>
      <c r="C464" s="10"/>
      <c r="D464" s="10"/>
      <c r="E464" s="1"/>
      <c r="F464" s="1"/>
    </row>
    <row r="465">
      <c r="B465" s="10"/>
      <c r="C465" s="10"/>
      <c r="D465" s="10"/>
      <c r="E465" s="1"/>
      <c r="F465" s="1"/>
    </row>
    <row r="466">
      <c r="B466" s="10"/>
      <c r="C466" s="10"/>
      <c r="D466" s="10"/>
      <c r="E466" s="1"/>
      <c r="F466" s="1"/>
    </row>
    <row r="467">
      <c r="B467" s="10"/>
      <c r="C467" s="10"/>
      <c r="D467" s="10"/>
      <c r="E467" s="1"/>
      <c r="F467" s="1"/>
    </row>
    <row r="468">
      <c r="B468" s="10"/>
      <c r="C468" s="10"/>
      <c r="D468" s="10"/>
      <c r="E468" s="1"/>
      <c r="F468" s="1"/>
    </row>
    <row r="469">
      <c r="B469" s="10"/>
      <c r="C469" s="10"/>
      <c r="D469" s="10"/>
      <c r="E469" s="1"/>
      <c r="F469" s="1"/>
    </row>
    <row r="470">
      <c r="B470" s="10"/>
      <c r="C470" s="10"/>
      <c r="D470" s="10"/>
      <c r="E470" s="1"/>
      <c r="F470" s="1"/>
    </row>
    <row r="471">
      <c r="B471" s="10"/>
      <c r="C471" s="10"/>
      <c r="D471" s="10"/>
      <c r="E471" s="1"/>
      <c r="F471" s="1"/>
    </row>
    <row r="472">
      <c r="B472" s="10"/>
      <c r="C472" s="10"/>
      <c r="D472" s="10"/>
      <c r="E472" s="1"/>
      <c r="F472" s="1"/>
    </row>
    <row r="473">
      <c r="B473" s="10"/>
      <c r="C473" s="10"/>
      <c r="D473" s="10"/>
      <c r="E473" s="1"/>
      <c r="F473" s="1"/>
    </row>
    <row r="474">
      <c r="B474" s="10"/>
      <c r="C474" s="10"/>
      <c r="D474" s="10"/>
      <c r="E474" s="1"/>
      <c r="F474" s="1"/>
    </row>
    <row r="475">
      <c r="B475" s="10"/>
      <c r="C475" s="10"/>
      <c r="D475" s="10"/>
      <c r="E475" s="1"/>
      <c r="F475" s="1"/>
    </row>
    <row r="476">
      <c r="B476" s="10"/>
      <c r="C476" s="10"/>
      <c r="D476" s="10"/>
      <c r="E476" s="1"/>
      <c r="F476" s="1"/>
    </row>
    <row r="477">
      <c r="B477" s="10"/>
      <c r="C477" s="10"/>
      <c r="D477" s="10"/>
      <c r="E477" s="1"/>
      <c r="F477" s="1"/>
    </row>
    <row r="478">
      <c r="B478" s="10"/>
      <c r="C478" s="10"/>
      <c r="D478" s="10"/>
      <c r="E478" s="1"/>
      <c r="F478" s="1"/>
    </row>
    <row r="479">
      <c r="B479" s="10"/>
      <c r="C479" s="10"/>
      <c r="D479" s="10"/>
      <c r="E479" s="1"/>
      <c r="F479" s="1"/>
    </row>
    <row r="480">
      <c r="B480" s="10"/>
      <c r="C480" s="10"/>
      <c r="D480" s="10"/>
      <c r="E480" s="1"/>
      <c r="F480" s="1"/>
    </row>
    <row r="481">
      <c r="B481" s="10"/>
      <c r="C481" s="10"/>
      <c r="D481" s="10"/>
      <c r="E481" s="1"/>
      <c r="F481" s="1"/>
    </row>
    <row r="482">
      <c r="B482" s="10"/>
      <c r="C482" s="10"/>
      <c r="D482" s="10"/>
      <c r="E482" s="1"/>
      <c r="F482" s="1"/>
    </row>
    <row r="483">
      <c r="B483" s="10"/>
      <c r="C483" s="10"/>
      <c r="D483" s="10"/>
      <c r="E483" s="1"/>
      <c r="F483" s="1"/>
    </row>
    <row r="484">
      <c r="B484" s="10"/>
      <c r="C484" s="10"/>
      <c r="D484" s="10"/>
      <c r="E484" s="1"/>
      <c r="F484" s="1"/>
    </row>
    <row r="485">
      <c r="B485" s="10"/>
      <c r="C485" s="10"/>
      <c r="D485" s="10"/>
      <c r="E485" s="1"/>
      <c r="F485" s="1"/>
    </row>
    <row r="486">
      <c r="B486" s="10"/>
      <c r="C486" s="10"/>
      <c r="D486" s="10"/>
      <c r="E486" s="1"/>
      <c r="F486" s="1"/>
    </row>
    <row r="487">
      <c r="B487" s="10"/>
      <c r="C487" s="10"/>
      <c r="D487" s="10"/>
      <c r="E487" s="1"/>
      <c r="F487" s="1"/>
    </row>
    <row r="488">
      <c r="B488" s="10"/>
      <c r="C488" s="10"/>
      <c r="D488" s="10"/>
      <c r="E488" s="1"/>
      <c r="F488" s="1"/>
    </row>
    <row r="489">
      <c r="B489" s="10"/>
      <c r="C489" s="10"/>
      <c r="D489" s="10"/>
      <c r="E489" s="1"/>
      <c r="F489" s="1"/>
    </row>
    <row r="490">
      <c r="B490" s="10"/>
      <c r="C490" s="10"/>
      <c r="D490" s="10"/>
      <c r="E490" s="1"/>
      <c r="F490" s="1"/>
    </row>
    <row r="491">
      <c r="B491" s="10"/>
      <c r="C491" s="10"/>
      <c r="D491" s="10"/>
      <c r="E491" s="1"/>
      <c r="F491" s="1"/>
    </row>
    <row r="492">
      <c r="B492" s="10"/>
      <c r="C492" s="10"/>
      <c r="D492" s="10"/>
      <c r="E492" s="1"/>
      <c r="F492" s="1"/>
    </row>
    <row r="493">
      <c r="B493" s="10"/>
      <c r="C493" s="10"/>
      <c r="D493" s="10"/>
      <c r="E493" s="1"/>
      <c r="F493" s="1"/>
    </row>
    <row r="494">
      <c r="B494" s="10"/>
      <c r="C494" s="10"/>
      <c r="D494" s="10"/>
      <c r="E494" s="1"/>
      <c r="F494" s="1"/>
    </row>
    <row r="495">
      <c r="B495" s="10"/>
      <c r="C495" s="10"/>
      <c r="D495" s="10"/>
      <c r="E495" s="1"/>
      <c r="F495" s="1"/>
    </row>
    <row r="496">
      <c r="B496" s="10"/>
      <c r="C496" s="10"/>
      <c r="D496" s="10"/>
      <c r="E496" s="1"/>
      <c r="F496" s="1"/>
    </row>
    <row r="497">
      <c r="B497" s="10"/>
      <c r="C497" s="10"/>
      <c r="D497" s="10"/>
      <c r="E497" s="1"/>
      <c r="F497" s="1"/>
    </row>
    <row r="498">
      <c r="B498" s="10"/>
      <c r="C498" s="10"/>
      <c r="D498" s="10"/>
      <c r="E498" s="1"/>
      <c r="F498" s="1"/>
    </row>
    <row r="499">
      <c r="B499" s="10"/>
      <c r="C499" s="10"/>
      <c r="D499" s="10"/>
      <c r="E499" s="1"/>
      <c r="F499" s="1"/>
    </row>
    <row r="500">
      <c r="B500" s="10"/>
      <c r="C500" s="10"/>
      <c r="D500" s="10"/>
      <c r="E500" s="1"/>
      <c r="F500" s="1"/>
    </row>
    <row r="501">
      <c r="B501" s="10"/>
      <c r="C501" s="10"/>
      <c r="D501" s="10"/>
      <c r="E501" s="1"/>
      <c r="F501" s="1"/>
    </row>
    <row r="502">
      <c r="B502" s="10"/>
      <c r="C502" s="10"/>
      <c r="D502" s="10"/>
      <c r="E502" s="1"/>
      <c r="F502" s="1"/>
    </row>
    <row r="503">
      <c r="B503" s="10"/>
      <c r="C503" s="10"/>
      <c r="D503" s="10"/>
      <c r="E503" s="1"/>
      <c r="F503" s="1"/>
    </row>
    <row r="504">
      <c r="B504" s="10"/>
      <c r="C504" s="10"/>
      <c r="D504" s="10"/>
      <c r="E504" s="1"/>
      <c r="F504" s="1"/>
    </row>
    <row r="505">
      <c r="B505" s="10"/>
      <c r="C505" s="10"/>
      <c r="D505" s="10"/>
      <c r="E505" s="1"/>
      <c r="F505" s="1"/>
    </row>
    <row r="506">
      <c r="B506" s="10"/>
      <c r="C506" s="10"/>
      <c r="D506" s="10"/>
      <c r="E506" s="1"/>
      <c r="F506" s="1"/>
    </row>
    <row r="507">
      <c r="B507" s="10"/>
      <c r="C507" s="10"/>
      <c r="D507" s="10"/>
      <c r="E507" s="1"/>
      <c r="F507" s="1"/>
    </row>
    <row r="508">
      <c r="B508" s="10"/>
      <c r="C508" s="10"/>
      <c r="D508" s="10"/>
      <c r="E508" s="1"/>
      <c r="F508" s="1"/>
    </row>
    <row r="509">
      <c r="B509" s="10"/>
      <c r="C509" s="10"/>
      <c r="D509" s="10"/>
      <c r="E509" s="1"/>
      <c r="F509" s="1"/>
    </row>
    <row r="510">
      <c r="B510" s="10"/>
      <c r="C510" s="10"/>
      <c r="D510" s="10"/>
      <c r="E510" s="1"/>
      <c r="F510" s="1"/>
    </row>
    <row r="511">
      <c r="B511" s="10"/>
      <c r="C511" s="10"/>
      <c r="D511" s="10"/>
      <c r="E511" s="1"/>
      <c r="F511" s="1"/>
    </row>
    <row r="512">
      <c r="B512" s="10"/>
      <c r="C512" s="10"/>
      <c r="D512" s="10"/>
      <c r="E512" s="1"/>
      <c r="F512" s="1"/>
    </row>
    <row r="513">
      <c r="B513" s="10"/>
      <c r="C513" s="10"/>
      <c r="D513" s="10"/>
      <c r="E513" s="1"/>
      <c r="F513" s="1"/>
    </row>
    <row r="514">
      <c r="B514" s="10"/>
      <c r="C514" s="10"/>
      <c r="D514" s="10"/>
      <c r="E514" s="1"/>
      <c r="F514" s="1"/>
    </row>
    <row r="515">
      <c r="B515" s="10"/>
      <c r="C515" s="10"/>
      <c r="D515" s="10"/>
      <c r="E515" s="1"/>
      <c r="F515" s="1"/>
    </row>
    <row r="516">
      <c r="B516" s="10"/>
      <c r="C516" s="10"/>
      <c r="D516" s="10"/>
      <c r="E516" s="1"/>
      <c r="F516" s="1"/>
    </row>
    <row r="517">
      <c r="B517" s="10"/>
      <c r="C517" s="10"/>
      <c r="D517" s="10"/>
      <c r="E517" s="1"/>
      <c r="F517" s="1"/>
    </row>
    <row r="518">
      <c r="B518" s="10"/>
      <c r="C518" s="10"/>
      <c r="D518" s="10"/>
      <c r="E518" s="1"/>
      <c r="F518" s="1"/>
    </row>
    <row r="519">
      <c r="B519" s="10"/>
      <c r="C519" s="10"/>
      <c r="D519" s="10"/>
      <c r="E519" s="1"/>
      <c r="F519" s="1"/>
    </row>
    <row r="520">
      <c r="B520" s="10"/>
      <c r="C520" s="10"/>
      <c r="D520" s="10"/>
      <c r="E520" s="1"/>
      <c r="F520" s="1"/>
    </row>
    <row r="521">
      <c r="B521" s="10"/>
      <c r="C521" s="10"/>
      <c r="D521" s="10"/>
      <c r="E521" s="1"/>
      <c r="F521" s="1"/>
    </row>
    <row r="522">
      <c r="B522" s="10"/>
      <c r="C522" s="10"/>
      <c r="D522" s="10"/>
      <c r="E522" s="1"/>
      <c r="F522" s="1"/>
    </row>
    <row r="523">
      <c r="B523" s="10"/>
      <c r="C523" s="10"/>
      <c r="D523" s="10"/>
      <c r="E523" s="1"/>
      <c r="F523" s="1"/>
    </row>
    <row r="524">
      <c r="B524" s="10"/>
      <c r="C524" s="10"/>
      <c r="D524" s="10"/>
      <c r="E524" s="1"/>
      <c r="F524" s="1"/>
    </row>
    <row r="525">
      <c r="B525" s="10"/>
      <c r="C525" s="10"/>
      <c r="D525" s="10"/>
      <c r="E525" s="1"/>
      <c r="F525" s="1"/>
    </row>
    <row r="526">
      <c r="B526" s="10"/>
      <c r="C526" s="10"/>
      <c r="D526" s="10"/>
      <c r="E526" s="1"/>
      <c r="F526" s="1"/>
    </row>
    <row r="527">
      <c r="B527" s="10"/>
      <c r="C527" s="10"/>
      <c r="D527" s="10"/>
      <c r="E527" s="1"/>
      <c r="F527" s="1"/>
    </row>
    <row r="528">
      <c r="B528" s="10"/>
      <c r="C528" s="10"/>
      <c r="D528" s="10"/>
      <c r="E528" s="1"/>
      <c r="F528" s="1"/>
    </row>
    <row r="529">
      <c r="B529" s="10"/>
      <c r="C529" s="10"/>
      <c r="D529" s="10"/>
      <c r="E529" s="1"/>
      <c r="F529" s="1"/>
    </row>
    <row r="530">
      <c r="B530" s="10"/>
      <c r="C530" s="10"/>
      <c r="D530" s="10"/>
      <c r="E530" s="1"/>
      <c r="F530" s="1"/>
    </row>
    <row r="531">
      <c r="B531" s="10"/>
      <c r="C531" s="10"/>
      <c r="D531" s="10"/>
      <c r="E531" s="1"/>
      <c r="F531" s="1"/>
    </row>
    <row r="532">
      <c r="B532" s="10"/>
      <c r="C532" s="10"/>
      <c r="D532" s="10"/>
      <c r="E532" s="1"/>
      <c r="F532" s="1"/>
    </row>
    <row r="533">
      <c r="B533" s="10"/>
      <c r="C533" s="10"/>
      <c r="D533" s="10"/>
      <c r="E533" s="1"/>
      <c r="F533" s="1"/>
    </row>
    <row r="534">
      <c r="B534" s="10"/>
      <c r="C534" s="10"/>
      <c r="D534" s="10"/>
      <c r="E534" s="1"/>
      <c r="F534" s="1"/>
    </row>
    <row r="535">
      <c r="B535" s="10"/>
      <c r="C535" s="10"/>
      <c r="D535" s="10"/>
      <c r="E535" s="1"/>
      <c r="F535" s="1"/>
    </row>
    <row r="536">
      <c r="B536" s="10"/>
      <c r="C536" s="10"/>
      <c r="D536" s="10"/>
      <c r="E536" s="1"/>
      <c r="F536" s="1"/>
    </row>
    <row r="537">
      <c r="B537" s="10"/>
      <c r="C537" s="10"/>
      <c r="D537" s="10"/>
      <c r="E537" s="1"/>
      <c r="F537" s="1"/>
    </row>
    <row r="538">
      <c r="B538" s="10"/>
      <c r="C538" s="10"/>
      <c r="D538" s="10"/>
      <c r="E538" s="1"/>
      <c r="F538" s="1"/>
    </row>
    <row r="539">
      <c r="B539" s="10"/>
      <c r="C539" s="10"/>
      <c r="D539" s="10"/>
      <c r="E539" s="1"/>
      <c r="F539" s="1"/>
    </row>
    <row r="540">
      <c r="B540" s="10"/>
      <c r="C540" s="10"/>
      <c r="D540" s="10"/>
      <c r="E540" s="1"/>
      <c r="F540" s="1"/>
    </row>
    <row r="541">
      <c r="B541" s="10"/>
      <c r="C541" s="10"/>
      <c r="D541" s="10"/>
      <c r="E541" s="1"/>
      <c r="F541" s="1"/>
    </row>
    <row r="542">
      <c r="B542" s="10"/>
      <c r="C542" s="10"/>
      <c r="D542" s="10"/>
      <c r="E542" s="1"/>
      <c r="F542" s="1"/>
    </row>
    <row r="543">
      <c r="B543" s="10"/>
      <c r="C543" s="10"/>
      <c r="D543" s="10"/>
      <c r="E543" s="1"/>
      <c r="F543" s="1"/>
    </row>
    <row r="544">
      <c r="B544" s="10"/>
      <c r="C544" s="10"/>
      <c r="D544" s="10"/>
      <c r="E544" s="1"/>
      <c r="F544" s="1"/>
    </row>
    <row r="545">
      <c r="B545" s="10"/>
      <c r="C545" s="10"/>
      <c r="D545" s="10"/>
      <c r="E545" s="1"/>
      <c r="F545" s="1"/>
    </row>
    <row r="546">
      <c r="B546" s="10"/>
      <c r="C546" s="10"/>
      <c r="D546" s="10"/>
      <c r="E546" s="1"/>
      <c r="F546" s="1"/>
    </row>
    <row r="547">
      <c r="B547" s="10"/>
      <c r="C547" s="10"/>
      <c r="D547" s="10"/>
      <c r="E547" s="1"/>
      <c r="F547" s="1"/>
    </row>
    <row r="548">
      <c r="B548" s="10"/>
      <c r="C548" s="10"/>
      <c r="D548" s="10"/>
      <c r="E548" s="1"/>
      <c r="F548" s="1"/>
    </row>
    <row r="549">
      <c r="B549" s="10"/>
      <c r="C549" s="10"/>
      <c r="D549" s="10"/>
      <c r="E549" s="1"/>
      <c r="F549" s="1"/>
    </row>
    <row r="550">
      <c r="B550" s="10"/>
      <c r="C550" s="10"/>
      <c r="D550" s="10"/>
      <c r="E550" s="1"/>
      <c r="F550" s="1"/>
    </row>
    <row r="551">
      <c r="B551" s="10"/>
      <c r="C551" s="10"/>
      <c r="D551" s="10"/>
      <c r="E551" s="1"/>
      <c r="F551" s="1"/>
    </row>
    <row r="552">
      <c r="B552" s="10"/>
      <c r="C552" s="10"/>
      <c r="D552" s="10"/>
      <c r="E552" s="1"/>
      <c r="F552" s="1"/>
    </row>
    <row r="553">
      <c r="B553" s="10"/>
      <c r="C553" s="10"/>
      <c r="D553" s="10"/>
      <c r="E553" s="1"/>
      <c r="F553" s="1"/>
    </row>
    <row r="554">
      <c r="B554" s="10"/>
      <c r="C554" s="10"/>
      <c r="D554" s="10"/>
      <c r="E554" s="1"/>
      <c r="F554" s="1"/>
    </row>
    <row r="555">
      <c r="B555" s="10"/>
      <c r="C555" s="10"/>
      <c r="D555" s="10"/>
      <c r="E555" s="1"/>
      <c r="F555" s="1"/>
    </row>
    <row r="556">
      <c r="B556" s="10"/>
      <c r="C556" s="10"/>
      <c r="D556" s="10"/>
      <c r="E556" s="1"/>
      <c r="F556" s="1"/>
    </row>
    <row r="557">
      <c r="B557" s="10"/>
      <c r="C557" s="10"/>
      <c r="D557" s="10"/>
      <c r="E557" s="1"/>
      <c r="F557" s="1"/>
    </row>
    <row r="558">
      <c r="B558" s="10"/>
      <c r="C558" s="10"/>
      <c r="D558" s="10"/>
      <c r="E558" s="1"/>
      <c r="F558" s="1"/>
    </row>
    <row r="559">
      <c r="B559" s="10"/>
      <c r="C559" s="10"/>
      <c r="D559" s="10"/>
      <c r="E559" s="1"/>
      <c r="F559" s="1"/>
    </row>
    <row r="560">
      <c r="B560" s="10"/>
      <c r="C560" s="10"/>
      <c r="D560" s="10"/>
      <c r="E560" s="1"/>
      <c r="F560" s="1"/>
    </row>
    <row r="561">
      <c r="B561" s="10"/>
      <c r="C561" s="10"/>
      <c r="D561" s="10"/>
      <c r="E561" s="1"/>
      <c r="F561" s="1"/>
    </row>
    <row r="562">
      <c r="B562" s="10"/>
      <c r="C562" s="10"/>
      <c r="D562" s="10"/>
      <c r="E562" s="1"/>
      <c r="F562" s="1"/>
    </row>
    <row r="563">
      <c r="B563" s="10"/>
      <c r="C563" s="10"/>
      <c r="D563" s="10"/>
      <c r="E563" s="1"/>
      <c r="F563" s="1"/>
    </row>
    <row r="564">
      <c r="B564" s="10"/>
      <c r="C564" s="10"/>
      <c r="D564" s="10"/>
      <c r="E564" s="1"/>
      <c r="F564" s="1"/>
    </row>
    <row r="565">
      <c r="B565" s="10"/>
      <c r="C565" s="10"/>
      <c r="D565" s="10"/>
      <c r="E565" s="1"/>
      <c r="F565" s="1"/>
    </row>
    <row r="566">
      <c r="B566" s="10"/>
      <c r="C566" s="10"/>
      <c r="D566" s="10"/>
      <c r="E566" s="1"/>
      <c r="F566" s="1"/>
    </row>
    <row r="567">
      <c r="B567" s="10"/>
      <c r="C567" s="10"/>
      <c r="D567" s="10"/>
      <c r="E567" s="1"/>
      <c r="F567" s="1"/>
    </row>
    <row r="568">
      <c r="B568" s="10"/>
      <c r="C568" s="10"/>
      <c r="D568" s="10"/>
      <c r="E568" s="1"/>
      <c r="F568" s="1"/>
    </row>
    <row r="569">
      <c r="B569" s="10"/>
      <c r="C569" s="10"/>
      <c r="D569" s="10"/>
      <c r="E569" s="1"/>
      <c r="F569" s="1"/>
    </row>
    <row r="570">
      <c r="B570" s="10"/>
      <c r="C570" s="10"/>
      <c r="D570" s="10"/>
      <c r="E570" s="1"/>
      <c r="F570" s="1"/>
    </row>
    <row r="571">
      <c r="B571" s="10"/>
      <c r="C571" s="10"/>
      <c r="D571" s="10"/>
      <c r="E571" s="1"/>
      <c r="F571" s="1"/>
    </row>
    <row r="572">
      <c r="B572" s="10"/>
      <c r="C572" s="10"/>
      <c r="D572" s="10"/>
      <c r="E572" s="1"/>
      <c r="F572" s="1"/>
    </row>
    <row r="573">
      <c r="B573" s="10"/>
      <c r="C573" s="10"/>
      <c r="D573" s="10"/>
      <c r="E573" s="1"/>
      <c r="F573" s="1"/>
    </row>
    <row r="574">
      <c r="B574" s="10"/>
      <c r="C574" s="10"/>
      <c r="D574" s="10"/>
      <c r="E574" s="1"/>
      <c r="F574" s="1"/>
    </row>
    <row r="575">
      <c r="B575" s="10"/>
      <c r="C575" s="10"/>
      <c r="D575" s="10"/>
      <c r="E575" s="1"/>
      <c r="F575" s="1"/>
    </row>
    <row r="576">
      <c r="B576" s="10"/>
      <c r="C576" s="10"/>
      <c r="D576" s="10"/>
      <c r="E576" s="1"/>
      <c r="F576" s="1"/>
    </row>
    <row r="577">
      <c r="B577" s="10"/>
      <c r="C577" s="10"/>
      <c r="D577" s="10"/>
      <c r="E577" s="1"/>
      <c r="F577" s="1"/>
    </row>
    <row r="578">
      <c r="B578" s="10"/>
      <c r="C578" s="10"/>
      <c r="D578" s="10"/>
      <c r="E578" s="1"/>
      <c r="F578" s="1"/>
    </row>
    <row r="579">
      <c r="B579" s="10"/>
      <c r="C579" s="10"/>
      <c r="D579" s="10"/>
      <c r="E579" s="1"/>
      <c r="F579" s="1"/>
    </row>
    <row r="580">
      <c r="B580" s="10"/>
      <c r="C580" s="10"/>
      <c r="D580" s="10"/>
      <c r="E580" s="1"/>
      <c r="F580" s="1"/>
    </row>
    <row r="581">
      <c r="B581" s="10"/>
      <c r="C581" s="10"/>
      <c r="D581" s="10"/>
      <c r="E581" s="1"/>
      <c r="F581" s="1"/>
    </row>
    <row r="582">
      <c r="B582" s="10"/>
      <c r="C582" s="10"/>
      <c r="D582" s="10"/>
      <c r="E582" s="1"/>
      <c r="F582" s="1"/>
    </row>
    <row r="583">
      <c r="B583" s="10"/>
      <c r="C583" s="10"/>
      <c r="D583" s="10"/>
      <c r="E583" s="1"/>
      <c r="F583" s="1"/>
    </row>
    <row r="584">
      <c r="B584" s="10"/>
      <c r="C584" s="10"/>
      <c r="D584" s="10"/>
      <c r="E584" s="1"/>
      <c r="F584" s="1"/>
    </row>
    <row r="585">
      <c r="B585" s="10"/>
      <c r="C585" s="10"/>
      <c r="D585" s="10"/>
      <c r="E585" s="1"/>
      <c r="F585" s="1"/>
    </row>
    <row r="586">
      <c r="B586" s="10"/>
      <c r="C586" s="10"/>
      <c r="D586" s="10"/>
      <c r="E586" s="1"/>
      <c r="F586" s="1"/>
    </row>
    <row r="587">
      <c r="B587" s="10"/>
      <c r="C587" s="10"/>
      <c r="D587" s="10"/>
      <c r="E587" s="1"/>
      <c r="F587" s="1"/>
    </row>
    <row r="588">
      <c r="B588" s="10"/>
      <c r="C588" s="10"/>
      <c r="D588" s="10"/>
      <c r="E588" s="1"/>
      <c r="F588" s="1"/>
    </row>
    <row r="589">
      <c r="B589" s="10"/>
      <c r="C589" s="10"/>
      <c r="D589" s="10"/>
      <c r="E589" s="1"/>
      <c r="F589" s="1"/>
    </row>
    <row r="590">
      <c r="B590" s="10"/>
      <c r="C590" s="10"/>
      <c r="D590" s="10"/>
      <c r="E590" s="1"/>
      <c r="F590" s="1"/>
    </row>
    <row r="591">
      <c r="B591" s="10"/>
      <c r="C591" s="10"/>
      <c r="D591" s="10"/>
      <c r="E591" s="1"/>
      <c r="F591" s="1"/>
    </row>
    <row r="592">
      <c r="B592" s="10"/>
      <c r="C592" s="10"/>
      <c r="D592" s="10"/>
      <c r="E592" s="1"/>
      <c r="F592" s="1"/>
    </row>
    <row r="593">
      <c r="B593" s="10"/>
      <c r="C593" s="10"/>
      <c r="D593" s="10"/>
      <c r="E593" s="1"/>
      <c r="F593" s="1"/>
    </row>
    <row r="594">
      <c r="B594" s="10"/>
      <c r="C594" s="10"/>
      <c r="D594" s="10"/>
      <c r="E594" s="1"/>
      <c r="F594" s="1"/>
    </row>
    <row r="595">
      <c r="B595" s="10"/>
      <c r="C595" s="10"/>
      <c r="D595" s="10"/>
      <c r="E595" s="1"/>
      <c r="F595" s="1"/>
    </row>
    <row r="596">
      <c r="B596" s="10"/>
      <c r="C596" s="10"/>
      <c r="D596" s="10"/>
      <c r="E596" s="1"/>
      <c r="F596" s="1"/>
    </row>
    <row r="597">
      <c r="B597" s="10"/>
      <c r="C597" s="10"/>
      <c r="D597" s="10"/>
      <c r="E597" s="1"/>
      <c r="F597" s="1"/>
    </row>
    <row r="598">
      <c r="B598" s="10"/>
      <c r="C598" s="10"/>
      <c r="D598" s="10"/>
      <c r="E598" s="1"/>
      <c r="F598" s="1"/>
    </row>
    <row r="599">
      <c r="B599" s="10"/>
      <c r="C599" s="10"/>
      <c r="D599" s="10"/>
      <c r="E599" s="1"/>
      <c r="F599" s="1"/>
    </row>
    <row r="600">
      <c r="B600" s="10"/>
      <c r="C600" s="10"/>
      <c r="D600" s="10"/>
      <c r="E600" s="1"/>
      <c r="F600" s="1"/>
    </row>
    <row r="601">
      <c r="B601" s="10"/>
      <c r="C601" s="10"/>
      <c r="D601" s="10"/>
      <c r="E601" s="1"/>
      <c r="F601" s="1"/>
    </row>
    <row r="602">
      <c r="B602" s="10"/>
      <c r="C602" s="10"/>
      <c r="D602" s="10"/>
      <c r="E602" s="1"/>
      <c r="F602" s="1"/>
    </row>
    <row r="603">
      <c r="B603" s="10"/>
      <c r="C603" s="10"/>
      <c r="D603" s="10"/>
      <c r="E603" s="1"/>
      <c r="F603" s="1"/>
    </row>
    <row r="604">
      <c r="B604" s="10"/>
      <c r="C604" s="10"/>
      <c r="D604" s="10"/>
      <c r="E604" s="1"/>
      <c r="F604" s="1"/>
    </row>
    <row r="605">
      <c r="B605" s="10"/>
      <c r="C605" s="10"/>
      <c r="D605" s="10"/>
      <c r="E605" s="1"/>
      <c r="F605" s="1"/>
    </row>
    <row r="606">
      <c r="B606" s="10"/>
      <c r="C606" s="10"/>
      <c r="D606" s="10"/>
      <c r="E606" s="1"/>
      <c r="F606" s="1"/>
    </row>
    <row r="607">
      <c r="B607" s="10"/>
      <c r="C607" s="10"/>
      <c r="D607" s="10"/>
      <c r="E607" s="1"/>
      <c r="F607" s="1"/>
    </row>
    <row r="608">
      <c r="B608" s="10"/>
      <c r="C608" s="10"/>
      <c r="D608" s="10"/>
      <c r="E608" s="1"/>
      <c r="F608" s="1"/>
    </row>
    <row r="609">
      <c r="B609" s="10"/>
      <c r="C609" s="10"/>
      <c r="D609" s="10"/>
      <c r="E609" s="1"/>
      <c r="F609" s="1"/>
    </row>
    <row r="610">
      <c r="B610" s="10"/>
      <c r="C610" s="10"/>
      <c r="D610" s="10"/>
      <c r="E610" s="1"/>
      <c r="F610" s="1"/>
    </row>
    <row r="611">
      <c r="B611" s="10"/>
      <c r="C611" s="10"/>
      <c r="D611" s="10"/>
      <c r="E611" s="1"/>
      <c r="F611" s="1"/>
    </row>
    <row r="612">
      <c r="B612" s="10"/>
      <c r="C612" s="10"/>
      <c r="D612" s="10"/>
      <c r="E612" s="1"/>
      <c r="F612" s="1"/>
    </row>
    <row r="613">
      <c r="B613" s="10"/>
      <c r="C613" s="10"/>
      <c r="D613" s="10"/>
      <c r="E613" s="1"/>
      <c r="F613" s="1"/>
    </row>
    <row r="614">
      <c r="B614" s="10"/>
      <c r="C614" s="10"/>
      <c r="D614" s="10"/>
      <c r="E614" s="1"/>
      <c r="F614" s="1"/>
    </row>
    <row r="615">
      <c r="B615" s="10"/>
      <c r="C615" s="10"/>
      <c r="D615" s="10"/>
      <c r="E615" s="1"/>
      <c r="F615" s="1"/>
    </row>
    <row r="616">
      <c r="B616" s="10"/>
      <c r="C616" s="10"/>
      <c r="D616" s="10"/>
      <c r="E616" s="1"/>
      <c r="F616" s="1"/>
    </row>
    <row r="617">
      <c r="B617" s="10"/>
      <c r="C617" s="10"/>
      <c r="D617" s="10"/>
      <c r="E617" s="1"/>
      <c r="F617" s="1"/>
    </row>
    <row r="618">
      <c r="B618" s="10"/>
      <c r="C618" s="10"/>
      <c r="D618" s="10"/>
      <c r="E618" s="1"/>
      <c r="F618" s="1"/>
    </row>
    <row r="619">
      <c r="B619" s="10"/>
      <c r="C619" s="10"/>
      <c r="D619" s="10"/>
      <c r="E619" s="1"/>
      <c r="F619" s="1"/>
    </row>
    <row r="620">
      <c r="B620" s="10"/>
      <c r="C620" s="10"/>
      <c r="D620" s="10"/>
      <c r="E620" s="1"/>
      <c r="F620" s="1"/>
    </row>
    <row r="621">
      <c r="B621" s="10"/>
      <c r="C621" s="10"/>
      <c r="D621" s="10"/>
      <c r="E621" s="1"/>
      <c r="F621" s="1"/>
    </row>
    <row r="622">
      <c r="B622" s="10"/>
      <c r="C622" s="10"/>
      <c r="D622" s="10"/>
      <c r="E622" s="1"/>
      <c r="F622" s="1"/>
    </row>
    <row r="623">
      <c r="B623" s="10"/>
      <c r="C623" s="10"/>
      <c r="D623" s="10"/>
      <c r="E623" s="1"/>
      <c r="F623" s="1"/>
    </row>
    <row r="624">
      <c r="B624" s="10"/>
      <c r="C624" s="10"/>
      <c r="D624" s="10"/>
      <c r="E624" s="1"/>
      <c r="F624" s="1"/>
    </row>
    <row r="625">
      <c r="B625" s="10"/>
      <c r="C625" s="10"/>
      <c r="D625" s="10"/>
      <c r="E625" s="1"/>
      <c r="F625" s="1"/>
    </row>
    <row r="626">
      <c r="B626" s="10"/>
      <c r="C626" s="10"/>
      <c r="D626" s="10"/>
      <c r="E626" s="1"/>
      <c r="F626" s="1"/>
    </row>
    <row r="627">
      <c r="B627" s="10"/>
      <c r="C627" s="10"/>
      <c r="D627" s="10"/>
      <c r="E627" s="1"/>
      <c r="F627" s="1"/>
    </row>
    <row r="628">
      <c r="B628" s="10"/>
      <c r="C628" s="10"/>
      <c r="D628" s="10"/>
      <c r="E628" s="1"/>
      <c r="F628" s="1"/>
    </row>
    <row r="629">
      <c r="B629" s="10"/>
      <c r="C629" s="10"/>
      <c r="D629" s="10"/>
      <c r="E629" s="1"/>
      <c r="F629" s="1"/>
    </row>
    <row r="630">
      <c r="B630" s="10"/>
      <c r="C630" s="10"/>
      <c r="D630" s="10"/>
      <c r="E630" s="1"/>
      <c r="F630" s="1"/>
    </row>
    <row r="631">
      <c r="B631" s="10"/>
      <c r="C631" s="10"/>
      <c r="D631" s="10"/>
      <c r="E631" s="1"/>
      <c r="F631" s="1"/>
    </row>
    <row r="632">
      <c r="B632" s="10"/>
      <c r="C632" s="10"/>
      <c r="D632" s="10"/>
      <c r="E632" s="1"/>
      <c r="F632" s="1"/>
    </row>
    <row r="633">
      <c r="B633" s="10"/>
      <c r="C633" s="10"/>
      <c r="D633" s="10"/>
      <c r="E633" s="1"/>
      <c r="F633" s="1"/>
    </row>
    <row r="634">
      <c r="B634" s="10"/>
      <c r="C634" s="10"/>
      <c r="D634" s="10"/>
      <c r="E634" s="1"/>
      <c r="F634" s="1"/>
    </row>
    <row r="635">
      <c r="B635" s="10"/>
      <c r="C635" s="10"/>
      <c r="D635" s="10"/>
      <c r="E635" s="1"/>
      <c r="F635" s="1"/>
    </row>
    <row r="636">
      <c r="B636" s="10"/>
      <c r="C636" s="10"/>
      <c r="D636" s="10"/>
      <c r="E636" s="1"/>
      <c r="F636" s="1"/>
    </row>
    <row r="637">
      <c r="B637" s="10"/>
      <c r="C637" s="10"/>
      <c r="D637" s="10"/>
      <c r="E637" s="1"/>
      <c r="F637" s="1"/>
    </row>
    <row r="638">
      <c r="B638" s="10"/>
      <c r="C638" s="10"/>
      <c r="D638" s="10"/>
      <c r="E638" s="1"/>
      <c r="F638" s="1"/>
    </row>
    <row r="639">
      <c r="B639" s="10"/>
      <c r="C639" s="10"/>
      <c r="D639" s="10"/>
      <c r="E639" s="1"/>
      <c r="F639" s="1"/>
    </row>
    <row r="640">
      <c r="B640" s="10"/>
      <c r="C640" s="10"/>
      <c r="D640" s="10"/>
      <c r="E640" s="1"/>
      <c r="F640" s="1"/>
    </row>
    <row r="641">
      <c r="B641" s="10"/>
      <c r="C641" s="10"/>
      <c r="D641" s="10"/>
      <c r="E641" s="1"/>
      <c r="F641" s="1"/>
    </row>
    <row r="642">
      <c r="B642" s="10"/>
      <c r="C642" s="10"/>
      <c r="D642" s="10"/>
      <c r="E642" s="1"/>
      <c r="F642" s="1"/>
    </row>
    <row r="643">
      <c r="B643" s="10"/>
      <c r="C643" s="10"/>
      <c r="D643" s="10"/>
      <c r="E643" s="1"/>
      <c r="F643" s="1"/>
    </row>
    <row r="644">
      <c r="B644" s="10"/>
      <c r="C644" s="10"/>
      <c r="D644" s="10"/>
      <c r="E644" s="1"/>
      <c r="F644" s="1"/>
    </row>
    <row r="645">
      <c r="B645" s="10"/>
      <c r="C645" s="10"/>
      <c r="D645" s="10"/>
      <c r="E645" s="1"/>
      <c r="F645" s="1"/>
    </row>
    <row r="646">
      <c r="B646" s="10"/>
      <c r="C646" s="10"/>
      <c r="D646" s="10"/>
      <c r="E646" s="1"/>
      <c r="F646" s="1"/>
    </row>
    <row r="647">
      <c r="B647" s="10"/>
      <c r="C647" s="10"/>
      <c r="D647" s="10"/>
      <c r="E647" s="1"/>
      <c r="F647" s="1"/>
    </row>
    <row r="648">
      <c r="B648" s="10"/>
      <c r="C648" s="10"/>
      <c r="D648" s="10"/>
      <c r="E648" s="1"/>
      <c r="F648" s="1"/>
    </row>
    <row r="649">
      <c r="B649" s="10"/>
      <c r="C649" s="10"/>
      <c r="D649" s="10"/>
      <c r="E649" s="1"/>
      <c r="F649" s="1"/>
    </row>
    <row r="650">
      <c r="B650" s="10"/>
      <c r="C650" s="10"/>
      <c r="D650" s="10"/>
      <c r="E650" s="1"/>
      <c r="F650" s="1"/>
    </row>
    <row r="651">
      <c r="B651" s="10"/>
      <c r="C651" s="10"/>
      <c r="D651" s="10"/>
      <c r="E651" s="1"/>
      <c r="F651" s="1"/>
    </row>
    <row r="652">
      <c r="B652" s="10"/>
      <c r="C652" s="10"/>
      <c r="D652" s="10"/>
      <c r="E652" s="1"/>
      <c r="F652" s="1"/>
    </row>
    <row r="653">
      <c r="B653" s="10"/>
      <c r="C653" s="10"/>
      <c r="D653" s="10"/>
      <c r="E653" s="1"/>
      <c r="F653" s="1"/>
    </row>
    <row r="654">
      <c r="B654" s="10"/>
      <c r="C654" s="10"/>
      <c r="D654" s="10"/>
      <c r="E654" s="1"/>
      <c r="F654" s="1"/>
    </row>
    <row r="655">
      <c r="B655" s="10"/>
      <c r="C655" s="10"/>
      <c r="D655" s="10"/>
      <c r="E655" s="1"/>
      <c r="F655" s="1"/>
    </row>
    <row r="656">
      <c r="B656" s="10"/>
      <c r="C656" s="10"/>
      <c r="D656" s="10"/>
      <c r="E656" s="1"/>
      <c r="F656" s="1"/>
    </row>
    <row r="657">
      <c r="B657" s="10"/>
      <c r="C657" s="10"/>
      <c r="D657" s="10"/>
      <c r="E657" s="1"/>
      <c r="F657" s="1"/>
    </row>
    <row r="658">
      <c r="B658" s="10"/>
      <c r="C658" s="10"/>
      <c r="D658" s="10"/>
      <c r="E658" s="1"/>
      <c r="F658" s="1"/>
    </row>
    <row r="659">
      <c r="B659" s="10"/>
      <c r="C659" s="10"/>
      <c r="D659" s="10"/>
      <c r="E659" s="1"/>
      <c r="F659" s="1"/>
    </row>
    <row r="660">
      <c r="B660" s="10"/>
      <c r="C660" s="10"/>
      <c r="D660" s="10"/>
      <c r="E660" s="1"/>
      <c r="F660" s="1"/>
    </row>
    <row r="661">
      <c r="B661" s="10"/>
      <c r="C661" s="10"/>
      <c r="D661" s="10"/>
      <c r="E661" s="1"/>
      <c r="F661" s="1"/>
    </row>
    <row r="662">
      <c r="B662" s="10"/>
      <c r="C662" s="10"/>
      <c r="D662" s="10"/>
      <c r="E662" s="1"/>
      <c r="F662" s="1"/>
    </row>
    <row r="663">
      <c r="B663" s="10"/>
      <c r="C663" s="10"/>
      <c r="D663" s="10"/>
      <c r="E663" s="1"/>
      <c r="F663" s="1"/>
    </row>
    <row r="664">
      <c r="B664" s="10"/>
      <c r="C664" s="10"/>
      <c r="D664" s="10"/>
      <c r="E664" s="1"/>
      <c r="F664" s="1"/>
    </row>
    <row r="665">
      <c r="B665" s="10"/>
      <c r="C665" s="10"/>
      <c r="D665" s="10"/>
      <c r="E665" s="1"/>
      <c r="F665" s="1"/>
    </row>
    <row r="666">
      <c r="B666" s="10"/>
      <c r="C666" s="10"/>
      <c r="D666" s="10"/>
      <c r="E666" s="1"/>
      <c r="F666" s="1"/>
    </row>
    <row r="667">
      <c r="B667" s="10"/>
      <c r="C667" s="10"/>
      <c r="D667" s="10"/>
      <c r="E667" s="1"/>
      <c r="F667" s="1"/>
    </row>
    <row r="668">
      <c r="B668" s="10"/>
      <c r="C668" s="10"/>
      <c r="D668" s="10"/>
      <c r="E668" s="1"/>
      <c r="F668" s="1"/>
    </row>
    <row r="669">
      <c r="B669" s="10"/>
      <c r="C669" s="10"/>
      <c r="D669" s="10"/>
      <c r="E669" s="1"/>
      <c r="F669" s="1"/>
    </row>
    <row r="670">
      <c r="B670" s="10"/>
      <c r="C670" s="10"/>
      <c r="D670" s="10"/>
      <c r="E670" s="1"/>
      <c r="F670" s="1"/>
    </row>
    <row r="671">
      <c r="B671" s="10"/>
      <c r="C671" s="10"/>
      <c r="D671" s="10"/>
      <c r="E671" s="1"/>
      <c r="F671" s="1"/>
    </row>
    <row r="672">
      <c r="B672" s="10"/>
      <c r="C672" s="10"/>
      <c r="D672" s="10"/>
      <c r="E672" s="1"/>
      <c r="F672" s="1"/>
    </row>
    <row r="673">
      <c r="B673" s="10"/>
      <c r="C673" s="10"/>
      <c r="D673" s="10"/>
      <c r="E673" s="1"/>
      <c r="F673" s="1"/>
    </row>
    <row r="674">
      <c r="B674" s="10"/>
      <c r="C674" s="10"/>
      <c r="D674" s="10"/>
      <c r="E674" s="1"/>
      <c r="F674" s="1"/>
    </row>
    <row r="675">
      <c r="B675" s="10"/>
      <c r="C675" s="10"/>
      <c r="D675" s="10"/>
      <c r="E675" s="1"/>
      <c r="F675" s="1"/>
    </row>
    <row r="676">
      <c r="B676" s="10"/>
      <c r="C676" s="10"/>
      <c r="D676" s="10"/>
      <c r="E676" s="1"/>
      <c r="F676" s="1"/>
    </row>
    <row r="677">
      <c r="B677" s="10"/>
      <c r="C677" s="10"/>
      <c r="D677" s="10"/>
      <c r="E677" s="1"/>
      <c r="F677" s="1"/>
    </row>
    <row r="678">
      <c r="B678" s="10"/>
      <c r="C678" s="10"/>
      <c r="D678" s="10"/>
      <c r="E678" s="1"/>
      <c r="F678" s="1"/>
    </row>
    <row r="679">
      <c r="B679" s="10"/>
      <c r="C679" s="10"/>
      <c r="D679" s="10"/>
      <c r="E679" s="1"/>
      <c r="F679" s="1"/>
    </row>
    <row r="680">
      <c r="B680" s="10"/>
      <c r="C680" s="10"/>
      <c r="D680" s="10"/>
      <c r="E680" s="1"/>
      <c r="F680" s="1"/>
    </row>
    <row r="681">
      <c r="B681" s="10"/>
      <c r="C681" s="10"/>
      <c r="D681" s="10"/>
      <c r="E681" s="1"/>
      <c r="F681" s="1"/>
    </row>
    <row r="682">
      <c r="B682" s="10"/>
      <c r="C682" s="10"/>
      <c r="D682" s="10"/>
      <c r="E682" s="1"/>
      <c r="F682" s="1"/>
    </row>
    <row r="683">
      <c r="B683" s="10"/>
      <c r="C683" s="10"/>
      <c r="D683" s="10"/>
      <c r="E683" s="1"/>
      <c r="F683" s="1"/>
    </row>
    <row r="684">
      <c r="B684" s="10"/>
      <c r="C684" s="10"/>
      <c r="D684" s="10"/>
      <c r="E684" s="1"/>
      <c r="F684" s="1"/>
    </row>
    <row r="685">
      <c r="B685" s="10"/>
      <c r="C685" s="10"/>
      <c r="D685" s="10"/>
      <c r="E685" s="1"/>
      <c r="F685" s="1"/>
    </row>
    <row r="686">
      <c r="B686" s="10"/>
      <c r="C686" s="10"/>
      <c r="D686" s="10"/>
      <c r="E686" s="1"/>
      <c r="F686" s="1"/>
    </row>
    <row r="687">
      <c r="B687" s="10"/>
      <c r="C687" s="10"/>
      <c r="D687" s="10"/>
      <c r="E687" s="1"/>
      <c r="F687" s="1"/>
    </row>
    <row r="688">
      <c r="B688" s="10"/>
      <c r="C688" s="10"/>
      <c r="D688" s="10"/>
      <c r="E688" s="1"/>
      <c r="F688" s="1"/>
    </row>
    <row r="689">
      <c r="B689" s="10"/>
      <c r="C689" s="10"/>
      <c r="D689" s="10"/>
      <c r="E689" s="1"/>
      <c r="F689" s="1"/>
    </row>
    <row r="690">
      <c r="B690" s="10"/>
      <c r="C690" s="10"/>
      <c r="D690" s="10"/>
      <c r="E690" s="1"/>
      <c r="F690" s="1"/>
    </row>
    <row r="691">
      <c r="B691" s="10"/>
      <c r="C691" s="10"/>
      <c r="D691" s="10"/>
      <c r="E691" s="1"/>
      <c r="F691" s="1"/>
    </row>
    <row r="692">
      <c r="B692" s="10"/>
      <c r="C692" s="10"/>
      <c r="D692" s="10"/>
      <c r="E692" s="1"/>
      <c r="F692" s="1"/>
    </row>
    <row r="693">
      <c r="B693" s="10"/>
      <c r="C693" s="10"/>
      <c r="D693" s="10"/>
      <c r="E693" s="1"/>
      <c r="F693" s="1"/>
    </row>
    <row r="694">
      <c r="B694" s="10"/>
      <c r="C694" s="10"/>
      <c r="D694" s="10"/>
      <c r="E694" s="1"/>
      <c r="F694" s="1"/>
    </row>
    <row r="695">
      <c r="B695" s="10"/>
      <c r="C695" s="10"/>
      <c r="D695" s="10"/>
      <c r="E695" s="1"/>
      <c r="F695" s="1"/>
    </row>
    <row r="696">
      <c r="B696" s="10"/>
      <c r="C696" s="10"/>
      <c r="D696" s="10"/>
      <c r="E696" s="1"/>
      <c r="F696" s="1"/>
    </row>
    <row r="697">
      <c r="B697" s="10"/>
      <c r="C697" s="10"/>
      <c r="D697" s="10"/>
      <c r="E697" s="1"/>
      <c r="F697" s="1"/>
    </row>
    <row r="698">
      <c r="B698" s="10"/>
      <c r="C698" s="10"/>
      <c r="D698" s="10"/>
      <c r="E698" s="1"/>
      <c r="F698" s="1"/>
    </row>
    <row r="699">
      <c r="B699" s="10"/>
      <c r="C699" s="10"/>
      <c r="D699" s="10"/>
      <c r="E699" s="1"/>
      <c r="F699" s="1"/>
    </row>
    <row r="700">
      <c r="B700" s="10"/>
      <c r="C700" s="10"/>
      <c r="D700" s="10"/>
      <c r="E700" s="1"/>
      <c r="F700" s="1"/>
    </row>
    <row r="701">
      <c r="B701" s="10"/>
      <c r="C701" s="10"/>
      <c r="D701" s="10"/>
      <c r="E701" s="1"/>
      <c r="F701" s="1"/>
    </row>
    <row r="702">
      <c r="B702" s="10"/>
      <c r="C702" s="10"/>
      <c r="D702" s="10"/>
      <c r="E702" s="1"/>
      <c r="F702" s="1"/>
    </row>
    <row r="703">
      <c r="B703" s="10"/>
      <c r="C703" s="10"/>
      <c r="D703" s="10"/>
      <c r="E703" s="1"/>
      <c r="F703" s="1"/>
    </row>
    <row r="704">
      <c r="B704" s="10"/>
      <c r="C704" s="10"/>
      <c r="D704" s="10"/>
      <c r="E704" s="1"/>
      <c r="F704" s="1"/>
    </row>
    <row r="705">
      <c r="B705" s="10"/>
      <c r="C705" s="10"/>
      <c r="D705" s="10"/>
      <c r="E705" s="1"/>
      <c r="F705" s="1"/>
    </row>
    <row r="706">
      <c r="B706" s="10"/>
      <c r="C706" s="10"/>
      <c r="D706" s="10"/>
      <c r="E706" s="1"/>
      <c r="F706" s="1"/>
    </row>
    <row r="707">
      <c r="B707" s="10"/>
      <c r="C707" s="10"/>
      <c r="D707" s="10"/>
      <c r="E707" s="1"/>
      <c r="F707" s="1"/>
    </row>
    <row r="708">
      <c r="B708" s="10"/>
      <c r="C708" s="10"/>
      <c r="D708" s="10"/>
      <c r="E708" s="1"/>
      <c r="F708" s="1"/>
    </row>
    <row r="709">
      <c r="B709" s="10"/>
      <c r="C709" s="10"/>
      <c r="D709" s="10"/>
      <c r="E709" s="1"/>
      <c r="F709" s="1"/>
    </row>
    <row r="710">
      <c r="B710" s="10"/>
      <c r="C710" s="10"/>
      <c r="D710" s="10"/>
      <c r="E710" s="1"/>
      <c r="F710" s="1"/>
    </row>
    <row r="711">
      <c r="B711" s="10"/>
      <c r="C711" s="10"/>
      <c r="D711" s="10"/>
      <c r="E711" s="1"/>
      <c r="F711" s="1"/>
    </row>
    <row r="712">
      <c r="B712" s="10"/>
      <c r="C712" s="10"/>
      <c r="D712" s="10"/>
      <c r="E712" s="1"/>
      <c r="F712" s="1"/>
    </row>
    <row r="713">
      <c r="B713" s="10"/>
      <c r="C713" s="10"/>
      <c r="D713" s="10"/>
      <c r="E713" s="1"/>
      <c r="F713" s="1"/>
    </row>
    <row r="714">
      <c r="B714" s="10"/>
      <c r="C714" s="10"/>
      <c r="D714" s="10"/>
      <c r="E714" s="1"/>
      <c r="F714" s="1"/>
    </row>
    <row r="715">
      <c r="B715" s="10"/>
      <c r="C715" s="10"/>
      <c r="D715" s="10"/>
      <c r="E715" s="1"/>
      <c r="F715" s="1"/>
    </row>
    <row r="716">
      <c r="B716" s="10"/>
      <c r="C716" s="10"/>
      <c r="D716" s="10"/>
      <c r="E716" s="1"/>
      <c r="F716" s="1"/>
    </row>
    <row r="717">
      <c r="B717" s="10"/>
      <c r="C717" s="10"/>
      <c r="D717" s="10"/>
      <c r="E717" s="1"/>
      <c r="F717" s="1"/>
    </row>
    <row r="718">
      <c r="B718" s="10"/>
      <c r="C718" s="10"/>
      <c r="D718" s="10"/>
      <c r="E718" s="1"/>
      <c r="F718" s="1"/>
    </row>
    <row r="719">
      <c r="B719" s="10"/>
      <c r="C719" s="10"/>
      <c r="D719" s="10"/>
      <c r="E719" s="1"/>
      <c r="F719" s="1"/>
    </row>
    <row r="720">
      <c r="B720" s="10"/>
      <c r="C720" s="10"/>
      <c r="D720" s="10"/>
      <c r="E720" s="1"/>
      <c r="F720" s="1"/>
    </row>
    <row r="721">
      <c r="B721" s="10"/>
      <c r="C721" s="10"/>
      <c r="D721" s="10"/>
      <c r="E721" s="1"/>
      <c r="F721" s="1"/>
    </row>
    <row r="722">
      <c r="B722" s="10"/>
      <c r="C722" s="10"/>
      <c r="D722" s="10"/>
      <c r="E722" s="1"/>
      <c r="F722" s="1"/>
    </row>
    <row r="723">
      <c r="B723" s="10"/>
      <c r="C723" s="10"/>
      <c r="D723" s="10"/>
      <c r="E723" s="1"/>
      <c r="F723" s="1"/>
    </row>
    <row r="724">
      <c r="B724" s="10"/>
      <c r="C724" s="10"/>
      <c r="D724" s="10"/>
      <c r="E724" s="1"/>
      <c r="F724" s="1"/>
    </row>
    <row r="725">
      <c r="B725" s="10"/>
      <c r="C725" s="10"/>
      <c r="D725" s="10"/>
      <c r="E725" s="1"/>
      <c r="F725" s="1"/>
    </row>
    <row r="726">
      <c r="B726" s="10"/>
      <c r="C726" s="10"/>
      <c r="D726" s="10"/>
      <c r="E726" s="1"/>
      <c r="F726" s="1"/>
    </row>
    <row r="727">
      <c r="B727" s="10"/>
      <c r="C727" s="10"/>
      <c r="D727" s="10"/>
      <c r="E727" s="1"/>
      <c r="F727" s="1"/>
    </row>
    <row r="728">
      <c r="B728" s="10"/>
      <c r="C728" s="10"/>
      <c r="D728" s="10"/>
      <c r="E728" s="1"/>
      <c r="F728" s="1"/>
    </row>
    <row r="729">
      <c r="B729" s="10"/>
      <c r="C729" s="10"/>
      <c r="D729" s="10"/>
      <c r="E729" s="1"/>
      <c r="F729" s="1"/>
    </row>
    <row r="730">
      <c r="B730" s="10"/>
      <c r="C730" s="10"/>
      <c r="D730" s="10"/>
      <c r="E730" s="1"/>
      <c r="F730" s="1"/>
    </row>
    <row r="731">
      <c r="B731" s="10"/>
      <c r="C731" s="10"/>
      <c r="D731" s="10"/>
      <c r="E731" s="1"/>
      <c r="F731" s="1"/>
    </row>
    <row r="732">
      <c r="B732" s="10"/>
      <c r="C732" s="10"/>
      <c r="D732" s="10"/>
      <c r="E732" s="1"/>
      <c r="F732" s="1"/>
    </row>
    <row r="733">
      <c r="B733" s="10"/>
      <c r="C733" s="10"/>
      <c r="D733" s="10"/>
      <c r="E733" s="1"/>
      <c r="F733" s="1"/>
    </row>
    <row r="734">
      <c r="B734" s="10"/>
      <c r="C734" s="10"/>
      <c r="D734" s="10"/>
      <c r="E734" s="1"/>
      <c r="F734" s="1"/>
    </row>
    <row r="735">
      <c r="B735" s="10"/>
      <c r="C735" s="10"/>
      <c r="D735" s="10"/>
      <c r="E735" s="1"/>
      <c r="F735" s="1"/>
    </row>
    <row r="736">
      <c r="B736" s="10"/>
      <c r="C736" s="10"/>
      <c r="D736" s="10"/>
      <c r="E736" s="1"/>
      <c r="F736" s="1"/>
    </row>
    <row r="737">
      <c r="B737" s="10"/>
      <c r="C737" s="10"/>
      <c r="D737" s="10"/>
      <c r="E737" s="1"/>
      <c r="F737" s="1"/>
    </row>
    <row r="738">
      <c r="B738" s="10"/>
      <c r="C738" s="10"/>
      <c r="D738" s="10"/>
      <c r="E738" s="1"/>
      <c r="F738" s="1"/>
    </row>
    <row r="739">
      <c r="B739" s="10"/>
      <c r="C739" s="10"/>
      <c r="D739" s="10"/>
      <c r="E739" s="1"/>
      <c r="F739" s="1"/>
    </row>
    <row r="740">
      <c r="B740" s="10"/>
      <c r="C740" s="10"/>
      <c r="D740" s="10"/>
      <c r="E740" s="1"/>
      <c r="F740" s="1"/>
    </row>
    <row r="741">
      <c r="B741" s="10"/>
      <c r="C741" s="10"/>
      <c r="D741" s="10"/>
      <c r="E741" s="1"/>
      <c r="F741" s="1"/>
    </row>
    <row r="742">
      <c r="B742" s="10"/>
      <c r="C742" s="10"/>
      <c r="D742" s="10"/>
      <c r="E742" s="1"/>
      <c r="F742" s="1"/>
    </row>
    <row r="743">
      <c r="B743" s="10"/>
      <c r="C743" s="10"/>
      <c r="D743" s="10"/>
      <c r="E743" s="1"/>
      <c r="F743" s="1"/>
    </row>
    <row r="744">
      <c r="B744" s="10"/>
      <c r="C744" s="10"/>
      <c r="D744" s="10"/>
      <c r="E744" s="1"/>
      <c r="F744" s="1"/>
    </row>
    <row r="745">
      <c r="B745" s="10"/>
      <c r="C745" s="10"/>
      <c r="D745" s="10"/>
      <c r="E745" s="1"/>
      <c r="F745" s="1"/>
    </row>
    <row r="746">
      <c r="B746" s="10"/>
      <c r="C746" s="10"/>
      <c r="D746" s="10"/>
      <c r="E746" s="1"/>
      <c r="F746" s="1"/>
    </row>
    <row r="747">
      <c r="B747" s="10"/>
      <c r="C747" s="10"/>
      <c r="D747" s="10"/>
      <c r="E747" s="1"/>
      <c r="F747" s="1"/>
    </row>
    <row r="748">
      <c r="B748" s="10"/>
      <c r="C748" s="10"/>
      <c r="D748" s="10"/>
      <c r="E748" s="1"/>
      <c r="F748" s="1"/>
    </row>
    <row r="749">
      <c r="B749" s="10"/>
      <c r="C749" s="10"/>
      <c r="D749" s="10"/>
      <c r="E749" s="1"/>
      <c r="F749" s="1"/>
    </row>
    <row r="750">
      <c r="B750" s="10"/>
      <c r="C750" s="10"/>
      <c r="D750" s="10"/>
      <c r="E750" s="1"/>
      <c r="F750" s="1"/>
    </row>
    <row r="751">
      <c r="B751" s="10"/>
      <c r="C751" s="10"/>
      <c r="D751" s="10"/>
      <c r="E751" s="1"/>
      <c r="F751" s="1"/>
    </row>
    <row r="752">
      <c r="B752" s="10"/>
      <c r="C752" s="10"/>
      <c r="D752" s="10"/>
      <c r="E752" s="1"/>
      <c r="F752" s="1"/>
    </row>
    <row r="753">
      <c r="B753" s="10"/>
      <c r="C753" s="10"/>
      <c r="D753" s="10"/>
      <c r="E753" s="1"/>
      <c r="F753" s="1"/>
    </row>
    <row r="754">
      <c r="B754" s="10"/>
      <c r="C754" s="10"/>
      <c r="D754" s="10"/>
      <c r="E754" s="1"/>
      <c r="F754" s="1"/>
    </row>
    <row r="755">
      <c r="B755" s="10"/>
      <c r="C755" s="10"/>
      <c r="D755" s="10"/>
      <c r="E755" s="1"/>
      <c r="F755" s="1"/>
    </row>
    <row r="756">
      <c r="B756" s="10"/>
      <c r="C756" s="10"/>
      <c r="D756" s="10"/>
      <c r="E756" s="1"/>
      <c r="F756" s="1"/>
    </row>
    <row r="757">
      <c r="B757" s="10"/>
      <c r="C757" s="10"/>
      <c r="D757" s="10"/>
      <c r="E757" s="1"/>
      <c r="F757" s="1"/>
    </row>
    <row r="758">
      <c r="B758" s="10"/>
      <c r="C758" s="10"/>
      <c r="D758" s="10"/>
      <c r="E758" s="1"/>
      <c r="F758" s="1"/>
    </row>
    <row r="759">
      <c r="B759" s="10"/>
      <c r="C759" s="10"/>
      <c r="D759" s="10"/>
      <c r="E759" s="1"/>
      <c r="F759" s="1"/>
    </row>
    <row r="760">
      <c r="B760" s="10"/>
      <c r="C760" s="10"/>
      <c r="D760" s="10"/>
      <c r="E760" s="1"/>
      <c r="F760" s="1"/>
    </row>
    <row r="761">
      <c r="B761" s="10"/>
      <c r="C761" s="10"/>
      <c r="D761" s="10"/>
      <c r="E761" s="1"/>
      <c r="F761" s="1"/>
    </row>
    <row r="762">
      <c r="B762" s="10"/>
      <c r="C762" s="10"/>
      <c r="D762" s="10"/>
      <c r="E762" s="1"/>
      <c r="F762" s="1"/>
    </row>
    <row r="763">
      <c r="B763" s="10"/>
      <c r="C763" s="10"/>
      <c r="D763" s="10"/>
      <c r="E763" s="1"/>
      <c r="F763" s="1"/>
    </row>
    <row r="764">
      <c r="B764" s="10"/>
      <c r="C764" s="10"/>
      <c r="D764" s="10"/>
      <c r="E764" s="1"/>
      <c r="F764" s="1"/>
    </row>
    <row r="765">
      <c r="B765" s="10"/>
      <c r="C765" s="10"/>
      <c r="D765" s="10"/>
      <c r="E765" s="1"/>
      <c r="F765" s="1"/>
    </row>
    <row r="766">
      <c r="B766" s="10"/>
      <c r="C766" s="10"/>
      <c r="D766" s="10"/>
      <c r="E766" s="1"/>
      <c r="F766" s="1"/>
    </row>
    <row r="767">
      <c r="B767" s="10"/>
      <c r="C767" s="10"/>
      <c r="D767" s="10"/>
      <c r="E767" s="1"/>
      <c r="F767" s="1"/>
    </row>
    <row r="768">
      <c r="B768" s="10"/>
      <c r="C768" s="10"/>
      <c r="D768" s="10"/>
      <c r="E768" s="1"/>
      <c r="F768" s="1"/>
    </row>
    <row r="769">
      <c r="B769" s="10"/>
      <c r="C769" s="10"/>
      <c r="D769" s="10"/>
      <c r="E769" s="1"/>
      <c r="F769" s="1"/>
    </row>
    <row r="770">
      <c r="B770" s="10"/>
      <c r="C770" s="10"/>
      <c r="D770" s="10"/>
      <c r="E770" s="1"/>
      <c r="F770" s="1"/>
    </row>
    <row r="771">
      <c r="B771" s="10"/>
      <c r="C771" s="10"/>
      <c r="D771" s="10"/>
      <c r="E771" s="1"/>
      <c r="F771" s="1"/>
    </row>
    <row r="772">
      <c r="B772" s="10"/>
      <c r="C772" s="10"/>
      <c r="D772" s="10"/>
      <c r="E772" s="1"/>
      <c r="F772" s="1"/>
    </row>
    <row r="773">
      <c r="B773" s="10"/>
      <c r="C773" s="10"/>
      <c r="D773" s="10"/>
      <c r="E773" s="1"/>
      <c r="F773" s="1"/>
    </row>
    <row r="774">
      <c r="B774" s="10"/>
      <c r="C774" s="10"/>
      <c r="D774" s="10"/>
      <c r="E774" s="1"/>
      <c r="F774" s="1"/>
    </row>
    <row r="775">
      <c r="B775" s="10"/>
      <c r="C775" s="10"/>
      <c r="D775" s="10"/>
      <c r="E775" s="1"/>
      <c r="F775" s="1"/>
    </row>
    <row r="776">
      <c r="B776" s="10"/>
      <c r="C776" s="10"/>
      <c r="D776" s="10"/>
      <c r="E776" s="1"/>
      <c r="F776" s="1"/>
    </row>
    <row r="777">
      <c r="B777" s="10"/>
      <c r="C777" s="10"/>
      <c r="D777" s="10"/>
      <c r="E777" s="1"/>
      <c r="F777" s="1"/>
    </row>
    <row r="778">
      <c r="B778" s="10"/>
      <c r="C778" s="10"/>
      <c r="D778" s="10"/>
      <c r="E778" s="1"/>
      <c r="F778" s="1"/>
    </row>
    <row r="779">
      <c r="B779" s="10"/>
      <c r="C779" s="10"/>
      <c r="D779" s="10"/>
      <c r="E779" s="1"/>
      <c r="F779" s="1"/>
    </row>
    <row r="780">
      <c r="B780" s="10"/>
      <c r="C780" s="10"/>
      <c r="D780" s="10"/>
      <c r="E780" s="1"/>
      <c r="F780" s="1"/>
    </row>
    <row r="781">
      <c r="B781" s="10"/>
      <c r="C781" s="10"/>
      <c r="D781" s="10"/>
      <c r="E781" s="1"/>
      <c r="F781" s="1"/>
    </row>
    <row r="782">
      <c r="B782" s="10"/>
      <c r="C782" s="10"/>
      <c r="D782" s="10"/>
      <c r="E782" s="1"/>
      <c r="F782" s="1"/>
    </row>
    <row r="783">
      <c r="B783" s="10"/>
      <c r="C783" s="10"/>
      <c r="D783" s="10"/>
      <c r="E783" s="1"/>
      <c r="F783" s="1"/>
    </row>
    <row r="784">
      <c r="B784" s="10"/>
      <c r="C784" s="10"/>
      <c r="D784" s="10"/>
      <c r="E784" s="1"/>
      <c r="F784" s="1"/>
    </row>
    <row r="785">
      <c r="B785" s="10"/>
      <c r="C785" s="10"/>
      <c r="D785" s="10"/>
      <c r="E785" s="1"/>
      <c r="F785" s="1"/>
    </row>
    <row r="786">
      <c r="B786" s="10"/>
      <c r="C786" s="10"/>
      <c r="D786" s="10"/>
      <c r="E786" s="1"/>
      <c r="F786" s="1"/>
    </row>
    <row r="787">
      <c r="B787" s="10"/>
      <c r="C787" s="10"/>
      <c r="D787" s="10"/>
      <c r="E787" s="1"/>
      <c r="F787" s="1"/>
    </row>
    <row r="788">
      <c r="B788" s="10"/>
      <c r="C788" s="10"/>
      <c r="D788" s="10"/>
      <c r="E788" s="1"/>
      <c r="F788" s="1"/>
    </row>
    <row r="789">
      <c r="B789" s="10"/>
      <c r="C789" s="10"/>
      <c r="D789" s="10"/>
      <c r="E789" s="1"/>
      <c r="F789" s="1"/>
    </row>
    <row r="790">
      <c r="B790" s="10"/>
      <c r="C790" s="10"/>
      <c r="D790" s="10"/>
      <c r="E790" s="1"/>
      <c r="F790" s="1"/>
    </row>
    <row r="791">
      <c r="B791" s="10"/>
      <c r="C791" s="10"/>
      <c r="D791" s="10"/>
      <c r="E791" s="1"/>
      <c r="F791" s="1"/>
    </row>
    <row r="792">
      <c r="B792" s="10"/>
      <c r="C792" s="10"/>
      <c r="D792" s="10"/>
      <c r="E792" s="1"/>
      <c r="F792" s="1"/>
    </row>
    <row r="793">
      <c r="B793" s="10"/>
      <c r="C793" s="10"/>
      <c r="D793" s="10"/>
      <c r="E793" s="1"/>
      <c r="F793" s="1"/>
    </row>
    <row r="794">
      <c r="B794" s="10"/>
      <c r="C794" s="10"/>
      <c r="D794" s="10"/>
      <c r="E794" s="1"/>
      <c r="F794" s="1"/>
    </row>
    <row r="795">
      <c r="B795" s="10"/>
      <c r="C795" s="10"/>
      <c r="D795" s="10"/>
      <c r="E795" s="1"/>
      <c r="F795" s="1"/>
    </row>
    <row r="796">
      <c r="B796" s="10"/>
      <c r="C796" s="10"/>
      <c r="D796" s="10"/>
      <c r="E796" s="1"/>
      <c r="F796" s="1"/>
    </row>
    <row r="797">
      <c r="B797" s="10"/>
      <c r="C797" s="10"/>
      <c r="D797" s="10"/>
      <c r="E797" s="1"/>
      <c r="F797" s="1"/>
    </row>
    <row r="798">
      <c r="B798" s="10"/>
      <c r="C798" s="10"/>
      <c r="D798" s="10"/>
      <c r="E798" s="1"/>
      <c r="F798" s="1"/>
    </row>
    <row r="799">
      <c r="B799" s="10"/>
      <c r="C799" s="10"/>
      <c r="D799" s="10"/>
      <c r="E799" s="1"/>
      <c r="F799" s="1"/>
    </row>
    <row r="800">
      <c r="B800" s="10"/>
      <c r="C800" s="10"/>
      <c r="D800" s="10"/>
      <c r="E800" s="1"/>
      <c r="F800" s="1"/>
    </row>
    <row r="801">
      <c r="B801" s="10"/>
      <c r="C801" s="10"/>
      <c r="D801" s="10"/>
      <c r="E801" s="1"/>
      <c r="F801" s="1"/>
    </row>
    <row r="802">
      <c r="B802" s="10"/>
      <c r="C802" s="10"/>
      <c r="D802" s="10"/>
      <c r="E802" s="1"/>
      <c r="F802" s="1"/>
    </row>
    <row r="803">
      <c r="B803" s="10"/>
      <c r="C803" s="10"/>
      <c r="D803" s="10"/>
      <c r="E803" s="1"/>
      <c r="F803" s="1"/>
    </row>
    <row r="804">
      <c r="B804" s="10"/>
      <c r="C804" s="10"/>
      <c r="D804" s="10"/>
      <c r="E804" s="1"/>
      <c r="F804" s="1"/>
    </row>
    <row r="805">
      <c r="B805" s="10"/>
      <c r="C805" s="10"/>
      <c r="D805" s="10"/>
      <c r="E805" s="1"/>
      <c r="F805" s="1"/>
    </row>
    <row r="806">
      <c r="B806" s="10"/>
      <c r="C806" s="10"/>
      <c r="D806" s="10"/>
      <c r="E806" s="1"/>
      <c r="F806" s="1"/>
    </row>
    <row r="807">
      <c r="B807" s="10"/>
      <c r="C807" s="10"/>
      <c r="D807" s="10"/>
      <c r="E807" s="1"/>
      <c r="F807" s="1"/>
    </row>
    <row r="808">
      <c r="B808" s="10"/>
      <c r="C808" s="10"/>
      <c r="D808" s="10"/>
      <c r="E808" s="1"/>
      <c r="F808" s="1"/>
    </row>
    <row r="809">
      <c r="B809" s="10"/>
      <c r="C809" s="10"/>
      <c r="D809" s="10"/>
      <c r="E809" s="1"/>
      <c r="F809" s="1"/>
    </row>
    <row r="810">
      <c r="B810" s="10"/>
      <c r="C810" s="10"/>
      <c r="D810" s="10"/>
      <c r="E810" s="1"/>
      <c r="F810" s="1"/>
    </row>
    <row r="811">
      <c r="B811" s="10"/>
      <c r="C811" s="10"/>
      <c r="D811" s="10"/>
      <c r="E811" s="1"/>
      <c r="F811" s="1"/>
    </row>
    <row r="812">
      <c r="B812" s="10"/>
      <c r="C812" s="10"/>
      <c r="D812" s="10"/>
      <c r="E812" s="1"/>
      <c r="F812" s="1"/>
    </row>
    <row r="813">
      <c r="B813" s="10"/>
      <c r="C813" s="10"/>
      <c r="D813" s="10"/>
      <c r="E813" s="1"/>
      <c r="F813" s="1"/>
    </row>
    <row r="814">
      <c r="B814" s="10"/>
      <c r="C814" s="10"/>
      <c r="D814" s="10"/>
      <c r="E814" s="1"/>
      <c r="F814" s="1"/>
    </row>
    <row r="815">
      <c r="B815" s="10"/>
      <c r="C815" s="10"/>
      <c r="D815" s="10"/>
      <c r="E815" s="1"/>
      <c r="F815" s="1"/>
    </row>
    <row r="816">
      <c r="B816" s="10"/>
      <c r="C816" s="10"/>
      <c r="D816" s="10"/>
      <c r="E816" s="1"/>
      <c r="F816" s="1"/>
    </row>
    <row r="817">
      <c r="B817" s="10"/>
      <c r="C817" s="10"/>
      <c r="D817" s="10"/>
      <c r="E817" s="1"/>
      <c r="F817" s="1"/>
    </row>
    <row r="818">
      <c r="B818" s="10"/>
      <c r="C818" s="10"/>
      <c r="D818" s="10"/>
      <c r="E818" s="1"/>
      <c r="F818" s="1"/>
    </row>
    <row r="819">
      <c r="B819" s="10"/>
      <c r="C819" s="10"/>
      <c r="D819" s="10"/>
      <c r="E819" s="1"/>
      <c r="F819" s="1"/>
    </row>
    <row r="820">
      <c r="B820" s="10"/>
      <c r="C820" s="10"/>
      <c r="D820" s="10"/>
      <c r="E820" s="1"/>
      <c r="F820" s="1"/>
    </row>
    <row r="821">
      <c r="B821" s="10"/>
      <c r="C821" s="10"/>
      <c r="D821" s="10"/>
      <c r="E821" s="1"/>
      <c r="F821" s="1"/>
    </row>
    <row r="822">
      <c r="B822" s="10"/>
      <c r="C822" s="10"/>
      <c r="D822" s="10"/>
      <c r="E822" s="1"/>
      <c r="F822" s="1"/>
    </row>
    <row r="823">
      <c r="B823" s="10"/>
      <c r="C823" s="10"/>
      <c r="D823" s="10"/>
      <c r="E823" s="1"/>
      <c r="F823" s="1"/>
    </row>
    <row r="824">
      <c r="B824" s="10"/>
      <c r="C824" s="10"/>
      <c r="D824" s="10"/>
      <c r="E824" s="1"/>
      <c r="F824" s="1"/>
    </row>
    <row r="825">
      <c r="B825" s="10"/>
      <c r="C825" s="10"/>
      <c r="D825" s="10"/>
      <c r="E825" s="1"/>
      <c r="F825" s="1"/>
    </row>
    <row r="826">
      <c r="B826" s="10"/>
      <c r="C826" s="10"/>
      <c r="D826" s="10"/>
      <c r="E826" s="1"/>
      <c r="F826" s="1"/>
    </row>
    <row r="827">
      <c r="B827" s="10"/>
      <c r="C827" s="10"/>
      <c r="D827" s="10"/>
      <c r="E827" s="1"/>
      <c r="F827" s="1"/>
    </row>
    <row r="828">
      <c r="B828" s="10"/>
      <c r="C828" s="10"/>
      <c r="D828" s="10"/>
      <c r="E828" s="1"/>
      <c r="F828" s="1"/>
    </row>
    <row r="829">
      <c r="B829" s="10"/>
      <c r="C829" s="10"/>
      <c r="D829" s="10"/>
      <c r="E829" s="1"/>
      <c r="F829" s="1"/>
    </row>
    <row r="830">
      <c r="B830" s="10"/>
      <c r="C830" s="10"/>
      <c r="D830" s="10"/>
      <c r="E830" s="1"/>
      <c r="F830" s="1"/>
    </row>
    <row r="831">
      <c r="B831" s="10"/>
      <c r="C831" s="10"/>
      <c r="D831" s="10"/>
      <c r="E831" s="1"/>
      <c r="F831" s="1"/>
    </row>
    <row r="832">
      <c r="B832" s="10"/>
      <c r="C832" s="10"/>
      <c r="D832" s="10"/>
      <c r="E832" s="1"/>
      <c r="F832" s="1"/>
    </row>
    <row r="833">
      <c r="B833" s="10"/>
      <c r="C833" s="10"/>
      <c r="D833" s="10"/>
      <c r="E833" s="1"/>
      <c r="F833" s="1"/>
    </row>
    <row r="834">
      <c r="B834" s="10"/>
      <c r="C834" s="10"/>
      <c r="D834" s="10"/>
      <c r="E834" s="1"/>
      <c r="F834" s="1"/>
    </row>
    <row r="835">
      <c r="B835" s="10"/>
      <c r="C835" s="10"/>
      <c r="D835" s="10"/>
      <c r="E835" s="1"/>
      <c r="F835" s="1"/>
    </row>
    <row r="836">
      <c r="B836" s="10"/>
      <c r="C836" s="10"/>
      <c r="D836" s="10"/>
      <c r="E836" s="1"/>
      <c r="F836" s="1"/>
    </row>
    <row r="837">
      <c r="B837" s="10"/>
      <c r="C837" s="10"/>
      <c r="D837" s="10"/>
      <c r="E837" s="1"/>
      <c r="F837" s="1"/>
    </row>
    <row r="838">
      <c r="B838" s="10"/>
      <c r="C838" s="10"/>
      <c r="D838" s="10"/>
      <c r="E838" s="1"/>
      <c r="F838" s="1"/>
    </row>
    <row r="839">
      <c r="B839" s="10"/>
      <c r="C839" s="10"/>
      <c r="D839" s="10"/>
      <c r="E839" s="1"/>
      <c r="F839" s="1"/>
    </row>
    <row r="840">
      <c r="B840" s="10"/>
      <c r="C840" s="10"/>
      <c r="D840" s="10"/>
      <c r="E840" s="1"/>
      <c r="F840" s="1"/>
    </row>
    <row r="841">
      <c r="B841" s="10"/>
      <c r="C841" s="10"/>
      <c r="D841" s="10"/>
      <c r="E841" s="1"/>
      <c r="F841" s="1"/>
    </row>
    <row r="842">
      <c r="B842" s="10"/>
      <c r="C842" s="10"/>
      <c r="D842" s="10"/>
      <c r="E842" s="1"/>
      <c r="F842" s="1"/>
    </row>
    <row r="843">
      <c r="B843" s="10"/>
      <c r="C843" s="10"/>
      <c r="D843" s="10"/>
      <c r="E843" s="1"/>
      <c r="F843" s="1"/>
    </row>
    <row r="844">
      <c r="B844" s="10"/>
      <c r="C844" s="10"/>
      <c r="D844" s="10"/>
      <c r="E844" s="1"/>
      <c r="F844" s="1"/>
    </row>
    <row r="845">
      <c r="B845" s="10"/>
      <c r="C845" s="10"/>
      <c r="D845" s="10"/>
      <c r="E845" s="1"/>
      <c r="F845" s="1"/>
    </row>
    <row r="846">
      <c r="B846" s="10"/>
      <c r="C846" s="10"/>
      <c r="D846" s="10"/>
      <c r="E846" s="1"/>
      <c r="F846" s="1"/>
    </row>
    <row r="847">
      <c r="B847" s="10"/>
      <c r="C847" s="10"/>
      <c r="D847" s="10"/>
      <c r="E847" s="1"/>
      <c r="F847" s="1"/>
    </row>
    <row r="848">
      <c r="B848" s="10"/>
      <c r="C848" s="10"/>
      <c r="D848" s="10"/>
      <c r="E848" s="1"/>
      <c r="F848" s="1"/>
    </row>
    <row r="849">
      <c r="B849" s="10"/>
      <c r="C849" s="10"/>
      <c r="D849" s="10"/>
      <c r="E849" s="1"/>
      <c r="F849" s="1"/>
    </row>
    <row r="850">
      <c r="B850" s="10"/>
      <c r="C850" s="10"/>
      <c r="D850" s="10"/>
      <c r="E850" s="1"/>
      <c r="F850" s="1"/>
    </row>
    <row r="851">
      <c r="B851" s="10"/>
      <c r="C851" s="10"/>
      <c r="D851" s="10"/>
      <c r="E851" s="1"/>
      <c r="F851" s="1"/>
    </row>
    <row r="852">
      <c r="B852" s="10"/>
      <c r="C852" s="10"/>
      <c r="D852" s="10"/>
      <c r="E852" s="1"/>
      <c r="F852" s="1"/>
    </row>
    <row r="853">
      <c r="B853" s="10"/>
      <c r="C853" s="10"/>
      <c r="D853" s="10"/>
      <c r="E853" s="1"/>
      <c r="F853" s="1"/>
    </row>
    <row r="854">
      <c r="B854" s="10"/>
      <c r="C854" s="10"/>
      <c r="D854" s="10"/>
      <c r="E854" s="1"/>
      <c r="F854" s="1"/>
    </row>
    <row r="855">
      <c r="B855" s="10"/>
      <c r="C855" s="10"/>
      <c r="D855" s="10"/>
      <c r="E855" s="1"/>
      <c r="F855" s="1"/>
    </row>
    <row r="856">
      <c r="B856" s="10"/>
      <c r="C856" s="10"/>
      <c r="D856" s="10"/>
      <c r="E856" s="1"/>
      <c r="F856" s="1"/>
    </row>
    <row r="857">
      <c r="B857" s="10"/>
      <c r="C857" s="10"/>
      <c r="D857" s="10"/>
      <c r="E857" s="1"/>
      <c r="F857" s="1"/>
    </row>
    <row r="858">
      <c r="B858" s="10"/>
      <c r="C858" s="10"/>
      <c r="D858" s="10"/>
      <c r="E858" s="1"/>
      <c r="F858" s="1"/>
    </row>
    <row r="859">
      <c r="B859" s="10"/>
      <c r="C859" s="10"/>
      <c r="D859" s="10"/>
      <c r="E859" s="1"/>
      <c r="F859" s="1"/>
    </row>
    <row r="860">
      <c r="B860" s="10"/>
      <c r="C860" s="10"/>
      <c r="D860" s="10"/>
      <c r="E860" s="1"/>
      <c r="F860" s="1"/>
    </row>
    <row r="861">
      <c r="B861" s="10"/>
      <c r="C861" s="10"/>
      <c r="D861" s="10"/>
      <c r="E861" s="1"/>
      <c r="F861" s="1"/>
    </row>
    <row r="862">
      <c r="B862" s="10"/>
      <c r="C862" s="10"/>
      <c r="D862" s="10"/>
      <c r="E862" s="1"/>
      <c r="F862" s="1"/>
    </row>
    <row r="863">
      <c r="B863" s="10"/>
      <c r="C863" s="10"/>
      <c r="D863" s="10"/>
      <c r="E863" s="1"/>
      <c r="F863" s="1"/>
    </row>
    <row r="864">
      <c r="B864" s="10"/>
      <c r="C864" s="10"/>
      <c r="D864" s="10"/>
      <c r="E864" s="1"/>
      <c r="F864" s="1"/>
    </row>
    <row r="865">
      <c r="B865" s="10"/>
      <c r="C865" s="10"/>
      <c r="D865" s="10"/>
      <c r="E865" s="1"/>
      <c r="F865" s="1"/>
    </row>
    <row r="866">
      <c r="B866" s="10"/>
      <c r="C866" s="10"/>
      <c r="D866" s="10"/>
      <c r="E866" s="1"/>
      <c r="F866" s="1"/>
    </row>
    <row r="867">
      <c r="B867" s="10"/>
      <c r="C867" s="10"/>
      <c r="D867" s="10"/>
      <c r="E867" s="1"/>
      <c r="F867" s="1"/>
    </row>
    <row r="868">
      <c r="B868" s="10"/>
      <c r="C868" s="10"/>
      <c r="D868" s="10"/>
      <c r="E868" s="1"/>
      <c r="F868" s="1"/>
    </row>
    <row r="869">
      <c r="B869" s="10"/>
      <c r="C869" s="10"/>
      <c r="D869" s="10"/>
      <c r="E869" s="1"/>
      <c r="F869" s="1"/>
    </row>
    <row r="870">
      <c r="B870" s="10"/>
      <c r="C870" s="10"/>
      <c r="D870" s="10"/>
      <c r="E870" s="1"/>
      <c r="F870" s="1"/>
    </row>
    <row r="871">
      <c r="B871" s="10"/>
      <c r="C871" s="10"/>
      <c r="D871" s="10"/>
      <c r="E871" s="1"/>
      <c r="F871" s="1"/>
    </row>
    <row r="872">
      <c r="B872" s="10"/>
      <c r="C872" s="10"/>
      <c r="D872" s="10"/>
      <c r="E872" s="1"/>
      <c r="F872" s="1"/>
    </row>
    <row r="873">
      <c r="B873" s="10"/>
      <c r="C873" s="10"/>
      <c r="D873" s="10"/>
      <c r="E873" s="1"/>
      <c r="F873" s="1"/>
    </row>
    <row r="874">
      <c r="B874" s="10"/>
      <c r="C874" s="10"/>
      <c r="D874" s="10"/>
      <c r="E874" s="1"/>
      <c r="F874" s="1"/>
    </row>
    <row r="875">
      <c r="B875" s="10"/>
      <c r="C875" s="10"/>
      <c r="D875" s="10"/>
      <c r="E875" s="1"/>
      <c r="F875" s="1"/>
    </row>
    <row r="876">
      <c r="B876" s="10"/>
      <c r="C876" s="10"/>
      <c r="D876" s="10"/>
      <c r="E876" s="1"/>
      <c r="F876" s="1"/>
    </row>
    <row r="877">
      <c r="B877" s="10"/>
      <c r="C877" s="10"/>
      <c r="D877" s="10"/>
      <c r="E877" s="1"/>
      <c r="F877" s="1"/>
    </row>
    <row r="878">
      <c r="B878" s="10"/>
      <c r="C878" s="10"/>
      <c r="D878" s="10"/>
      <c r="E878" s="1"/>
      <c r="F878" s="1"/>
    </row>
    <row r="879">
      <c r="B879" s="10"/>
      <c r="C879" s="10"/>
      <c r="D879" s="10"/>
      <c r="E879" s="1"/>
      <c r="F879" s="1"/>
    </row>
    <row r="880">
      <c r="B880" s="10"/>
      <c r="C880" s="10"/>
      <c r="D880" s="10"/>
      <c r="E880" s="1"/>
      <c r="F880" s="1"/>
    </row>
    <row r="881">
      <c r="B881" s="10"/>
      <c r="C881" s="10"/>
      <c r="D881" s="10"/>
      <c r="E881" s="1"/>
      <c r="F881" s="1"/>
    </row>
    <row r="882">
      <c r="B882" s="10"/>
      <c r="C882" s="10"/>
      <c r="D882" s="10"/>
      <c r="E882" s="1"/>
      <c r="F882" s="1"/>
    </row>
    <row r="883">
      <c r="B883" s="10"/>
      <c r="C883" s="10"/>
      <c r="D883" s="10"/>
      <c r="E883" s="1"/>
      <c r="F883" s="1"/>
    </row>
    <row r="884">
      <c r="B884" s="10"/>
      <c r="C884" s="10"/>
      <c r="D884" s="10"/>
      <c r="E884" s="1"/>
      <c r="F884" s="1"/>
    </row>
    <row r="885">
      <c r="B885" s="10"/>
      <c r="C885" s="10"/>
      <c r="D885" s="10"/>
      <c r="E885" s="1"/>
      <c r="F885" s="1"/>
    </row>
    <row r="886">
      <c r="B886" s="10"/>
      <c r="C886" s="10"/>
      <c r="D886" s="10"/>
      <c r="E886" s="1"/>
      <c r="F886" s="1"/>
    </row>
    <row r="887">
      <c r="B887" s="10"/>
      <c r="C887" s="10"/>
      <c r="D887" s="10"/>
      <c r="E887" s="1"/>
      <c r="F887" s="1"/>
    </row>
    <row r="888">
      <c r="B888" s="10"/>
      <c r="C888" s="10"/>
      <c r="D888" s="10"/>
      <c r="E888" s="1"/>
      <c r="F888" s="1"/>
    </row>
    <row r="889">
      <c r="B889" s="10"/>
      <c r="C889" s="10"/>
      <c r="D889" s="10"/>
      <c r="E889" s="1"/>
      <c r="F889" s="1"/>
    </row>
    <row r="890">
      <c r="B890" s="10"/>
      <c r="C890" s="10"/>
      <c r="D890" s="10"/>
      <c r="E890" s="1"/>
      <c r="F890" s="1"/>
    </row>
    <row r="891">
      <c r="B891" s="10"/>
      <c r="C891" s="10"/>
      <c r="D891" s="10"/>
      <c r="E891" s="1"/>
      <c r="F891" s="1"/>
    </row>
    <row r="892">
      <c r="B892" s="10"/>
      <c r="C892" s="10"/>
      <c r="D892" s="10"/>
      <c r="E892" s="1"/>
      <c r="F892" s="1"/>
    </row>
    <row r="893">
      <c r="B893" s="10"/>
      <c r="C893" s="10"/>
      <c r="D893" s="10"/>
      <c r="E893" s="1"/>
      <c r="F893" s="1"/>
    </row>
    <row r="894">
      <c r="B894" s="10"/>
      <c r="C894" s="10"/>
      <c r="D894" s="10"/>
      <c r="E894" s="1"/>
      <c r="F894" s="1"/>
    </row>
    <row r="895">
      <c r="B895" s="10"/>
      <c r="C895" s="10"/>
      <c r="D895" s="10"/>
      <c r="E895" s="1"/>
      <c r="F895" s="1"/>
    </row>
    <row r="896">
      <c r="B896" s="10"/>
      <c r="C896" s="10"/>
      <c r="D896" s="10"/>
      <c r="E896" s="1"/>
      <c r="F896" s="1"/>
    </row>
    <row r="897">
      <c r="B897" s="10"/>
      <c r="C897" s="10"/>
      <c r="D897" s="10"/>
      <c r="E897" s="1"/>
      <c r="F897" s="1"/>
    </row>
    <row r="898">
      <c r="B898" s="10"/>
      <c r="C898" s="10"/>
      <c r="D898" s="10"/>
      <c r="E898" s="1"/>
      <c r="F898" s="1"/>
    </row>
    <row r="899">
      <c r="B899" s="10"/>
      <c r="C899" s="10"/>
      <c r="D899" s="10"/>
      <c r="E899" s="1"/>
      <c r="F899" s="1"/>
    </row>
    <row r="900">
      <c r="B900" s="10"/>
      <c r="C900" s="10"/>
      <c r="D900" s="10"/>
      <c r="E900" s="1"/>
      <c r="F900" s="1"/>
    </row>
    <row r="901">
      <c r="B901" s="10"/>
      <c r="C901" s="10"/>
      <c r="D901" s="10"/>
      <c r="E901" s="1"/>
      <c r="F901" s="1"/>
    </row>
    <row r="902">
      <c r="B902" s="10"/>
      <c r="C902" s="10"/>
      <c r="D902" s="10"/>
      <c r="E902" s="1"/>
      <c r="F902" s="1"/>
    </row>
    <row r="903">
      <c r="B903" s="10"/>
      <c r="C903" s="10"/>
      <c r="D903" s="10"/>
      <c r="E903" s="1"/>
      <c r="F903" s="1"/>
    </row>
    <row r="904">
      <c r="B904" s="10"/>
      <c r="C904" s="10"/>
      <c r="D904" s="10"/>
      <c r="E904" s="1"/>
      <c r="F904" s="1"/>
    </row>
    <row r="905">
      <c r="B905" s="10"/>
      <c r="C905" s="10"/>
      <c r="D905" s="10"/>
      <c r="E905" s="1"/>
      <c r="F905" s="1"/>
    </row>
    <row r="906">
      <c r="B906" s="10"/>
      <c r="C906" s="10"/>
      <c r="D906" s="10"/>
      <c r="E906" s="1"/>
      <c r="F906" s="1"/>
    </row>
    <row r="907">
      <c r="B907" s="10"/>
      <c r="C907" s="10"/>
      <c r="D907" s="10"/>
      <c r="E907" s="1"/>
      <c r="F907" s="1"/>
    </row>
    <row r="908">
      <c r="B908" s="10"/>
      <c r="C908" s="10"/>
      <c r="D908" s="10"/>
      <c r="E908" s="1"/>
      <c r="F908" s="1"/>
    </row>
    <row r="909">
      <c r="B909" s="10"/>
      <c r="C909" s="10"/>
      <c r="D909" s="10"/>
      <c r="E909" s="1"/>
      <c r="F909" s="1"/>
    </row>
    <row r="910">
      <c r="B910" s="10"/>
      <c r="C910" s="10"/>
      <c r="D910" s="10"/>
      <c r="E910" s="1"/>
      <c r="F910" s="1"/>
    </row>
    <row r="911">
      <c r="B911" s="10"/>
      <c r="C911" s="10"/>
      <c r="D911" s="10"/>
      <c r="E911" s="1"/>
      <c r="F911" s="1"/>
    </row>
    <row r="912">
      <c r="B912" s="10"/>
      <c r="C912" s="10"/>
      <c r="D912" s="10"/>
      <c r="E912" s="1"/>
      <c r="F912" s="1"/>
    </row>
    <row r="913">
      <c r="B913" s="10"/>
      <c r="C913" s="10"/>
      <c r="D913" s="10"/>
      <c r="E913" s="1"/>
      <c r="F913" s="1"/>
    </row>
    <row r="914">
      <c r="B914" s="10"/>
      <c r="C914" s="10"/>
      <c r="D914" s="10"/>
      <c r="E914" s="1"/>
      <c r="F914" s="1"/>
    </row>
    <row r="915">
      <c r="B915" s="10"/>
      <c r="C915" s="10"/>
      <c r="D915" s="10"/>
      <c r="E915" s="1"/>
      <c r="F915" s="1"/>
    </row>
    <row r="916">
      <c r="B916" s="10"/>
      <c r="C916" s="10"/>
      <c r="D916" s="10"/>
      <c r="E916" s="1"/>
      <c r="F916" s="1"/>
    </row>
    <row r="917">
      <c r="B917" s="10"/>
      <c r="C917" s="10"/>
      <c r="D917" s="10"/>
      <c r="E917" s="1"/>
      <c r="F917" s="1"/>
    </row>
    <row r="918">
      <c r="B918" s="10"/>
      <c r="C918" s="10"/>
      <c r="D918" s="10"/>
      <c r="E918" s="1"/>
      <c r="F918" s="1"/>
    </row>
    <row r="919">
      <c r="B919" s="10"/>
      <c r="C919" s="10"/>
      <c r="D919" s="10"/>
      <c r="E919" s="1"/>
      <c r="F919" s="1"/>
    </row>
    <row r="920">
      <c r="B920" s="10"/>
      <c r="C920" s="10"/>
      <c r="D920" s="10"/>
      <c r="E920" s="1"/>
      <c r="F920" s="1"/>
    </row>
    <row r="921">
      <c r="B921" s="10"/>
      <c r="C921" s="10"/>
      <c r="D921" s="10"/>
      <c r="E921" s="1"/>
      <c r="F921" s="1"/>
    </row>
    <row r="922">
      <c r="B922" s="10"/>
      <c r="C922" s="10"/>
      <c r="D922" s="10"/>
      <c r="E922" s="1"/>
      <c r="F922" s="1"/>
    </row>
    <row r="923">
      <c r="B923" s="10"/>
      <c r="C923" s="10"/>
      <c r="D923" s="10"/>
      <c r="E923" s="1"/>
      <c r="F923" s="1"/>
    </row>
    <row r="924">
      <c r="B924" s="10"/>
      <c r="C924" s="10"/>
      <c r="D924" s="10"/>
      <c r="E924" s="1"/>
      <c r="F924" s="1"/>
    </row>
    <row r="925">
      <c r="B925" s="10"/>
      <c r="C925" s="10"/>
      <c r="D925" s="10"/>
      <c r="E925" s="1"/>
      <c r="F925" s="1"/>
    </row>
    <row r="926">
      <c r="B926" s="10"/>
      <c r="C926" s="10"/>
      <c r="D926" s="10"/>
      <c r="E926" s="1"/>
      <c r="F926" s="1"/>
    </row>
    <row r="927">
      <c r="B927" s="10"/>
      <c r="C927" s="10"/>
      <c r="D927" s="10"/>
      <c r="E927" s="1"/>
      <c r="F927" s="1"/>
    </row>
    <row r="928">
      <c r="B928" s="10"/>
      <c r="C928" s="10"/>
      <c r="D928" s="10"/>
      <c r="E928" s="1"/>
      <c r="F928" s="1"/>
    </row>
    <row r="929">
      <c r="B929" s="10"/>
      <c r="C929" s="10"/>
      <c r="D929" s="10"/>
      <c r="E929" s="1"/>
      <c r="F929" s="1"/>
    </row>
    <row r="930">
      <c r="B930" s="10"/>
      <c r="C930" s="10"/>
      <c r="D930" s="10"/>
      <c r="E930" s="1"/>
      <c r="F930" s="1"/>
    </row>
    <row r="931">
      <c r="B931" s="10"/>
      <c r="C931" s="10"/>
      <c r="D931" s="10"/>
      <c r="E931" s="1"/>
      <c r="F931" s="1"/>
    </row>
    <row r="932">
      <c r="B932" s="10"/>
      <c r="C932" s="10"/>
      <c r="D932" s="10"/>
      <c r="E932" s="1"/>
      <c r="F932" s="1"/>
    </row>
    <row r="933">
      <c r="B933" s="10"/>
      <c r="C933" s="10"/>
      <c r="D933" s="10"/>
      <c r="E933" s="1"/>
      <c r="F933" s="1"/>
    </row>
    <row r="934">
      <c r="B934" s="10"/>
      <c r="C934" s="10"/>
      <c r="D934" s="10"/>
      <c r="E934" s="1"/>
      <c r="F934" s="1"/>
    </row>
    <row r="935">
      <c r="B935" s="10"/>
      <c r="C935" s="10"/>
      <c r="D935" s="10"/>
      <c r="E935" s="1"/>
      <c r="F935" s="1"/>
    </row>
    <row r="936">
      <c r="B936" s="10"/>
      <c r="C936" s="10"/>
      <c r="D936" s="10"/>
      <c r="E936" s="1"/>
      <c r="F936" s="1"/>
    </row>
    <row r="937">
      <c r="B937" s="10"/>
      <c r="C937" s="10"/>
      <c r="D937" s="10"/>
      <c r="E937" s="1"/>
      <c r="F937" s="1"/>
    </row>
    <row r="938">
      <c r="B938" s="10"/>
      <c r="C938" s="10"/>
      <c r="D938" s="10"/>
      <c r="E938" s="1"/>
      <c r="F938" s="1"/>
    </row>
    <row r="939">
      <c r="B939" s="10"/>
      <c r="C939" s="10"/>
      <c r="D939" s="10"/>
      <c r="E939" s="1"/>
      <c r="F939" s="1"/>
    </row>
    <row r="940">
      <c r="B940" s="10"/>
      <c r="C940" s="10"/>
      <c r="D940" s="10"/>
      <c r="E940" s="1"/>
      <c r="F940" s="1"/>
    </row>
    <row r="941">
      <c r="B941" s="10"/>
      <c r="C941" s="10"/>
      <c r="D941" s="10"/>
      <c r="E941" s="1"/>
      <c r="F941" s="1"/>
    </row>
    <row r="942">
      <c r="B942" s="10"/>
      <c r="C942" s="10"/>
      <c r="D942" s="10"/>
      <c r="E942" s="1"/>
      <c r="F942" s="1"/>
    </row>
    <row r="943">
      <c r="B943" s="10"/>
      <c r="C943" s="10"/>
      <c r="D943" s="10"/>
      <c r="E943" s="1"/>
      <c r="F943" s="1"/>
    </row>
    <row r="944">
      <c r="B944" s="10"/>
      <c r="C944" s="10"/>
      <c r="D944" s="10"/>
      <c r="E944" s="1"/>
      <c r="F944" s="1"/>
    </row>
    <row r="945">
      <c r="B945" s="10"/>
      <c r="C945" s="10"/>
      <c r="D945" s="10"/>
      <c r="E945" s="1"/>
      <c r="F945" s="1"/>
    </row>
    <row r="946">
      <c r="B946" s="10"/>
      <c r="C946" s="10"/>
      <c r="D946" s="10"/>
      <c r="E946" s="1"/>
      <c r="F946" s="1"/>
    </row>
    <row r="947">
      <c r="B947" s="10"/>
      <c r="C947" s="10"/>
      <c r="D947" s="10"/>
      <c r="E947" s="1"/>
      <c r="F947" s="1"/>
    </row>
    <row r="948">
      <c r="B948" s="10"/>
      <c r="C948" s="10"/>
      <c r="D948" s="10"/>
      <c r="E948" s="1"/>
      <c r="F948" s="1"/>
    </row>
    <row r="949">
      <c r="B949" s="10"/>
      <c r="C949" s="10"/>
      <c r="D949" s="10"/>
      <c r="E949" s="1"/>
      <c r="F949" s="1"/>
    </row>
    <row r="950">
      <c r="B950" s="10"/>
      <c r="C950" s="10"/>
      <c r="D950" s="10"/>
      <c r="E950" s="1"/>
      <c r="F950" s="1"/>
    </row>
    <row r="951">
      <c r="B951" s="10"/>
      <c r="C951" s="10"/>
      <c r="D951" s="10"/>
      <c r="E951" s="1"/>
      <c r="F951" s="1"/>
    </row>
    <row r="952">
      <c r="B952" s="10"/>
      <c r="C952" s="10"/>
      <c r="D952" s="10"/>
      <c r="E952" s="1"/>
      <c r="F952" s="1"/>
    </row>
    <row r="953">
      <c r="B953" s="10"/>
      <c r="C953" s="10"/>
      <c r="D953" s="10"/>
      <c r="E953" s="1"/>
      <c r="F953" s="1"/>
    </row>
    <row r="954">
      <c r="B954" s="10"/>
      <c r="C954" s="10"/>
      <c r="D954" s="10"/>
      <c r="E954" s="1"/>
      <c r="F954" s="1"/>
    </row>
    <row r="955">
      <c r="B955" s="10"/>
      <c r="C955" s="10"/>
      <c r="D955" s="10"/>
      <c r="E955" s="1"/>
      <c r="F955" s="1"/>
    </row>
    <row r="956">
      <c r="B956" s="10"/>
      <c r="C956" s="10"/>
      <c r="D956" s="10"/>
      <c r="E956" s="1"/>
      <c r="F956" s="1"/>
    </row>
    <row r="957">
      <c r="B957" s="10"/>
      <c r="C957" s="10"/>
      <c r="D957" s="10"/>
      <c r="E957" s="1"/>
      <c r="F957" s="1"/>
    </row>
    <row r="958">
      <c r="B958" s="10"/>
      <c r="C958" s="10"/>
      <c r="D958" s="10"/>
      <c r="E958" s="1"/>
      <c r="F958" s="1"/>
    </row>
    <row r="959">
      <c r="B959" s="10"/>
      <c r="C959" s="10"/>
      <c r="D959" s="10"/>
      <c r="E959" s="1"/>
      <c r="F959" s="1"/>
    </row>
    <row r="960">
      <c r="B960" s="10"/>
      <c r="C960" s="10"/>
      <c r="D960" s="10"/>
      <c r="E960" s="1"/>
      <c r="F960" s="1"/>
    </row>
    <row r="961">
      <c r="B961" s="10"/>
      <c r="C961" s="10"/>
      <c r="D961" s="10"/>
      <c r="E961" s="1"/>
      <c r="F961" s="1"/>
    </row>
    <row r="962">
      <c r="B962" s="10"/>
      <c r="C962" s="10"/>
      <c r="D962" s="10"/>
      <c r="E962" s="1"/>
      <c r="F962" s="1"/>
    </row>
    <row r="963">
      <c r="B963" s="10"/>
      <c r="C963" s="10"/>
      <c r="D963" s="10"/>
      <c r="E963" s="1"/>
      <c r="F963" s="1"/>
    </row>
    <row r="964">
      <c r="B964" s="10"/>
      <c r="C964" s="10"/>
      <c r="D964" s="10"/>
      <c r="E964" s="1"/>
      <c r="F964" s="1"/>
    </row>
    <row r="965">
      <c r="B965" s="10"/>
      <c r="C965" s="10"/>
      <c r="D965" s="10"/>
      <c r="E965" s="1"/>
      <c r="F965" s="1"/>
    </row>
    <row r="966">
      <c r="B966" s="10"/>
      <c r="C966" s="10"/>
      <c r="D966" s="10"/>
      <c r="E966" s="1"/>
      <c r="F966" s="1"/>
    </row>
    <row r="967">
      <c r="B967" s="10"/>
      <c r="C967" s="10"/>
      <c r="D967" s="10"/>
      <c r="E967" s="1"/>
      <c r="F967" s="1"/>
    </row>
    <row r="968">
      <c r="B968" s="10"/>
      <c r="C968" s="10"/>
      <c r="D968" s="10"/>
      <c r="E968" s="1"/>
      <c r="F968" s="1"/>
    </row>
    <row r="969">
      <c r="B969" s="10"/>
      <c r="C969" s="10"/>
      <c r="D969" s="10"/>
      <c r="E969" s="1"/>
      <c r="F969" s="1"/>
    </row>
    <row r="970">
      <c r="B970" s="10"/>
      <c r="C970" s="10"/>
      <c r="D970" s="10"/>
      <c r="E970" s="1"/>
      <c r="F970" s="1"/>
    </row>
    <row r="971">
      <c r="B971" s="10"/>
      <c r="C971" s="10"/>
      <c r="D971" s="10"/>
      <c r="E971" s="1"/>
      <c r="F971" s="1"/>
    </row>
    <row r="972">
      <c r="B972" s="10"/>
      <c r="C972" s="10"/>
      <c r="D972" s="10"/>
      <c r="E972" s="1"/>
      <c r="F972" s="1"/>
    </row>
    <row r="973">
      <c r="B973" s="10"/>
      <c r="C973" s="10"/>
      <c r="D973" s="10"/>
      <c r="E973" s="1"/>
      <c r="F973" s="1"/>
    </row>
    <row r="974">
      <c r="B974" s="10"/>
      <c r="C974" s="10"/>
      <c r="D974" s="10"/>
      <c r="E974" s="1"/>
      <c r="F974" s="1"/>
    </row>
    <row r="975">
      <c r="B975" s="10"/>
      <c r="C975" s="10"/>
      <c r="D975" s="10"/>
      <c r="E975" s="1"/>
      <c r="F975" s="1"/>
    </row>
    <row r="976">
      <c r="B976" s="10"/>
      <c r="C976" s="10"/>
      <c r="D976" s="10"/>
      <c r="E976" s="1"/>
      <c r="F976" s="1"/>
    </row>
    <row r="977">
      <c r="B977" s="10"/>
      <c r="C977" s="10"/>
      <c r="D977" s="10"/>
      <c r="E977" s="1"/>
      <c r="F977" s="1"/>
    </row>
    <row r="978">
      <c r="B978" s="10"/>
      <c r="C978" s="10"/>
      <c r="D978" s="10"/>
      <c r="E978" s="1"/>
      <c r="F978" s="1"/>
    </row>
    <row r="979">
      <c r="B979" s="10"/>
      <c r="C979" s="10"/>
      <c r="D979" s="10"/>
      <c r="E979" s="1"/>
      <c r="F979" s="1"/>
    </row>
    <row r="980">
      <c r="B980" s="10"/>
      <c r="C980" s="10"/>
      <c r="D980" s="10"/>
      <c r="E980" s="1"/>
      <c r="F980" s="1"/>
    </row>
    <row r="981">
      <c r="B981" s="10"/>
      <c r="C981" s="10"/>
      <c r="D981" s="10"/>
      <c r="E981" s="1"/>
      <c r="F981" s="1"/>
    </row>
    <row r="982">
      <c r="E982" s="1"/>
      <c r="F982" s="1"/>
    </row>
    <row r="983">
      <c r="E983" s="1"/>
      <c r="F983" s="1"/>
    </row>
    <row r="984">
      <c r="E984" s="1"/>
      <c r="F984" s="1"/>
    </row>
    <row r="985">
      <c r="E985" s="1"/>
      <c r="F985" s="1"/>
    </row>
    <row r="986">
      <c r="E986" s="1"/>
      <c r="F986" s="1"/>
    </row>
    <row r="987">
      <c r="E987" s="1"/>
      <c r="F987" s="1"/>
    </row>
    <row r="988">
      <c r="E988" s="1"/>
      <c r="F988" s="1"/>
    </row>
    <row r="989">
      <c r="E989" s="1"/>
      <c r="F989" s="1"/>
    </row>
    <row r="990">
      <c r="E990" s="1"/>
      <c r="F990" s="1"/>
    </row>
    <row r="991">
      <c r="E991" s="1"/>
      <c r="F991" s="1"/>
    </row>
    <row r="992">
      <c r="E992" s="1"/>
      <c r="F992" s="1"/>
    </row>
    <row r="993">
      <c r="E993" s="1"/>
      <c r="F993" s="1"/>
    </row>
    <row r="994">
      <c r="E994" s="1"/>
      <c r="F994" s="1"/>
    </row>
    <row r="995">
      <c r="E995" s="1"/>
      <c r="F995" s="1"/>
    </row>
    <row r="996">
      <c r="E996" s="1"/>
      <c r="F996" s="1"/>
    </row>
    <row r="997">
      <c r="E997" s="1"/>
      <c r="F997" s="1"/>
    </row>
    <row r="998">
      <c r="E998" s="1"/>
      <c r="F998" s="1"/>
    </row>
    <row r="999">
      <c r="E999" s="1"/>
      <c r="F999" s="1"/>
    </row>
    <row r="1000">
      <c r="E1000" s="1"/>
      <c r="F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0.25"/>
    <col customWidth="1" min="2" max="2" width="21.0"/>
    <col customWidth="1" min="3" max="3" width="25.13"/>
    <col customWidth="1" min="4" max="4" width="26.0"/>
    <col customWidth="1" min="5" max="5" width="24.25"/>
    <col customWidth="1" min="6" max="6" width="26.0"/>
    <col customWidth="1" min="7" max="7" width="40.88"/>
  </cols>
  <sheetData>
    <row r="1">
      <c r="A1" s="11" t="s">
        <v>6</v>
      </c>
      <c r="B1" s="12" t="s">
        <v>7</v>
      </c>
      <c r="C1" s="13" t="s">
        <v>8</v>
      </c>
      <c r="D1" s="14" t="s">
        <v>9</v>
      </c>
      <c r="E1" s="14" t="s">
        <v>10</v>
      </c>
      <c r="F1" s="15" t="s">
        <v>11</v>
      </c>
      <c r="G1" s="11" t="s">
        <v>12</v>
      </c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</row>
    <row r="2" ht="20.25" customHeight="1">
      <c r="A2" s="17" t="s">
        <v>13</v>
      </c>
      <c r="B2" s="18" t="s">
        <v>14</v>
      </c>
      <c r="C2" s="19">
        <v>1.0</v>
      </c>
      <c r="D2" s="20">
        <v>46107.0</v>
      </c>
      <c r="E2" s="9">
        <f t="shared" ref="E2:E125" si="1">IF(D2="", "", IF(MOD(C2, 1)=0, EDATE(D2, C2), D2 + (C2 * 30)))</f>
        <v>46138</v>
      </c>
      <c r="F2" s="19" t="s">
        <v>15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ht="20.25" customHeight="1">
      <c r="A3" s="17" t="s">
        <v>13</v>
      </c>
      <c r="B3" s="18" t="s">
        <v>16</v>
      </c>
      <c r="C3" s="19">
        <v>1.0</v>
      </c>
      <c r="D3" s="20">
        <v>46107.0</v>
      </c>
      <c r="E3" s="9">
        <f t="shared" si="1"/>
        <v>46138</v>
      </c>
      <c r="F3" s="19" t="s">
        <v>15</v>
      </c>
      <c r="G3" s="21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</row>
    <row r="4" ht="20.25" customHeight="1">
      <c r="A4" s="23" t="s">
        <v>13</v>
      </c>
      <c r="B4" s="24" t="s">
        <v>17</v>
      </c>
      <c r="C4" s="25">
        <v>2.0</v>
      </c>
      <c r="D4" s="26">
        <v>46107.0</v>
      </c>
      <c r="E4" s="9">
        <f t="shared" si="1"/>
        <v>46168</v>
      </c>
      <c r="F4" s="25" t="s">
        <v>15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</row>
    <row r="5" ht="20.25" customHeight="1">
      <c r="A5" s="23" t="s">
        <v>13</v>
      </c>
      <c r="B5" s="24" t="s">
        <v>18</v>
      </c>
      <c r="C5" s="25">
        <v>2.0</v>
      </c>
      <c r="D5" s="26">
        <v>46107.0</v>
      </c>
      <c r="E5" s="9">
        <f t="shared" si="1"/>
        <v>46168</v>
      </c>
      <c r="F5" s="25" t="s">
        <v>15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ht="20.25" customHeight="1">
      <c r="A6" s="23" t="s">
        <v>13</v>
      </c>
      <c r="B6" s="24" t="s">
        <v>19</v>
      </c>
      <c r="C6" s="25">
        <v>2.0</v>
      </c>
      <c r="D6" s="26">
        <v>46107.0</v>
      </c>
      <c r="E6" s="9">
        <f t="shared" si="1"/>
        <v>46168</v>
      </c>
      <c r="F6" s="25" t="s">
        <v>15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</row>
    <row r="7" ht="20.25" customHeight="1">
      <c r="A7" s="23" t="s">
        <v>13</v>
      </c>
      <c r="B7" s="24" t="s">
        <v>20</v>
      </c>
      <c r="C7" s="25">
        <v>6.0</v>
      </c>
      <c r="D7" s="26">
        <v>46107.0</v>
      </c>
      <c r="E7" s="9">
        <f t="shared" si="1"/>
        <v>46291</v>
      </c>
      <c r="F7" s="25" t="s">
        <v>15</v>
      </c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ht="20.25" customHeight="1">
      <c r="A8" s="23" t="s">
        <v>21</v>
      </c>
      <c r="B8" s="24" t="s">
        <v>14</v>
      </c>
      <c r="C8" s="25">
        <v>1.0</v>
      </c>
      <c r="D8" s="26">
        <f>IF(MAXIFS('Respuestas de formulario 1'!$D:$D, 'Respuestas de formulario 1'!$B:$B, "*"&amp;A8&amp;"*", 'Respuestas de formulario 1'!$C:$C, "*"&amp;B8&amp;"*")=0, "", MAXIFS('Respuestas de formulario 1'!$D:$D, 'Respuestas de formulario 1'!$B:$B, "*"&amp;A8&amp;"*", 'Respuestas de formulario 1'!$C:$C, "*"&amp;B8&amp;"*"))</f>
        <v>46140</v>
      </c>
      <c r="E8" s="9">
        <f t="shared" si="1"/>
        <v>46170</v>
      </c>
      <c r="F8" s="25" t="s">
        <v>15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ht="20.25" customHeight="1">
      <c r="A9" s="23" t="s">
        <v>21</v>
      </c>
      <c r="B9" s="24" t="s">
        <v>16</v>
      </c>
      <c r="C9" s="25">
        <v>1.0</v>
      </c>
      <c r="D9" s="26">
        <f>IF(MAXIFS('Respuestas de formulario 1'!$D:$D, 'Respuestas de formulario 1'!$B:$B, "*"&amp;A9&amp;"*", 'Respuestas de formulario 1'!$C:$C, "*"&amp;B9&amp;"*")=0, "", MAXIFS('Respuestas de formulario 1'!$D:$D, 'Respuestas de formulario 1'!$B:$B, "*"&amp;A9&amp;"*", 'Respuestas de formulario 1'!$C:$C, "*"&amp;B9&amp;"*"))</f>
        <v>46140</v>
      </c>
      <c r="E9" s="9">
        <f t="shared" si="1"/>
        <v>46170</v>
      </c>
      <c r="F9" s="25" t="s">
        <v>15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ht="20.25" customHeight="1">
      <c r="A10" s="23" t="s">
        <v>21</v>
      </c>
      <c r="B10" s="24" t="s">
        <v>18</v>
      </c>
      <c r="C10" s="25">
        <v>1.0</v>
      </c>
      <c r="D10" s="26">
        <f>IF(MAXIFS('Respuestas de formulario 1'!$D:$D, 'Respuestas de formulario 1'!$B:$B, "*"&amp;A10&amp;"*", 'Respuestas de formulario 1'!$C:$C, "*"&amp;B10&amp;"*")=0, "", MAXIFS('Respuestas de formulario 1'!$D:$D, 'Respuestas de formulario 1'!$B:$B, "*"&amp;A10&amp;"*", 'Respuestas de formulario 1'!$C:$C, "*"&amp;B10&amp;"*"))</f>
        <v>46140</v>
      </c>
      <c r="E10" s="9">
        <f t="shared" si="1"/>
        <v>46170</v>
      </c>
      <c r="F10" s="25" t="s">
        <v>15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ht="20.25" customHeight="1">
      <c r="A11" s="23" t="s">
        <v>21</v>
      </c>
      <c r="B11" s="24" t="s">
        <v>19</v>
      </c>
      <c r="C11" s="25">
        <v>6.0</v>
      </c>
      <c r="D11" s="26">
        <f>IF(MAXIFS('Respuestas de formulario 1'!$D:$D, 'Respuestas de formulario 1'!$B:$B, "*"&amp;A11&amp;"*", 'Respuestas de formulario 1'!$C:$C, "*"&amp;B11&amp;"*")=0, "", MAXIFS('Respuestas de formulario 1'!$D:$D, 'Respuestas de formulario 1'!$B:$B, "*"&amp;A11&amp;"*", 'Respuestas de formulario 1'!$C:$C, "*"&amp;B11&amp;"*"))</f>
        <v>46085</v>
      </c>
      <c r="E11" s="9">
        <f t="shared" si="1"/>
        <v>46269</v>
      </c>
      <c r="F11" s="25" t="s">
        <v>15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ht="20.25" customHeight="1">
      <c r="A12" s="23" t="s">
        <v>22</v>
      </c>
      <c r="B12" s="24" t="s">
        <v>23</v>
      </c>
      <c r="C12" s="25">
        <v>1.0</v>
      </c>
      <c r="D12" s="26">
        <f>IF(MAXIFS('Respuestas de formulario 1'!$D:$D, 'Respuestas de formulario 1'!$B:$B, "*"&amp;A12&amp;"*", 'Respuestas de formulario 1'!$C:$C, "*"&amp;B12&amp;"*")=0, "", MAXIFS('Respuestas de formulario 1'!$D:$D, 'Respuestas de formulario 1'!$B:$B, "*"&amp;A12&amp;"*", 'Respuestas de formulario 1'!$C:$C, "*"&amp;B12&amp;"*"))</f>
        <v>46144</v>
      </c>
      <c r="E12" s="9">
        <f t="shared" si="1"/>
        <v>46175</v>
      </c>
      <c r="F12" s="25" t="s">
        <v>15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 ht="20.25" customHeight="1">
      <c r="A13" s="23" t="s">
        <v>22</v>
      </c>
      <c r="B13" s="24" t="s">
        <v>24</v>
      </c>
      <c r="C13" s="25">
        <v>1.0</v>
      </c>
      <c r="D13" s="26" t="str">
        <f>IF(MAXIFS('Respuestas de formulario 1'!$D:$D, 'Respuestas de formulario 1'!$B:$B, "*"&amp;A13&amp;"*", 'Respuestas de formulario 1'!$C:$C, "*"&amp;B13&amp;"*")=0, "", MAXIFS('Respuestas de formulario 1'!$D:$D, 'Respuestas de formulario 1'!$B:$B, "*"&amp;A13&amp;"*", 'Respuestas de formulario 1'!$C:$C, "*"&amp;B13&amp;"*"))</f>
        <v/>
      </c>
      <c r="E13" s="9" t="str">
        <f t="shared" si="1"/>
        <v/>
      </c>
      <c r="F13" s="25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ht="20.25" customHeight="1">
      <c r="A14" s="23" t="s">
        <v>22</v>
      </c>
      <c r="B14" s="24" t="s">
        <v>14</v>
      </c>
      <c r="C14" s="25">
        <v>2.0</v>
      </c>
      <c r="D14" s="26">
        <v>46092.0</v>
      </c>
      <c r="E14" s="9">
        <f t="shared" si="1"/>
        <v>46153</v>
      </c>
      <c r="F14" s="25" t="s">
        <v>15</v>
      </c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ht="20.25" customHeight="1">
      <c r="A15" s="23" t="s">
        <v>22</v>
      </c>
      <c r="B15" s="24" t="s">
        <v>18</v>
      </c>
      <c r="C15" s="25">
        <v>3.0</v>
      </c>
      <c r="D15" s="26">
        <v>46092.0</v>
      </c>
      <c r="E15" s="9">
        <f t="shared" si="1"/>
        <v>46184</v>
      </c>
      <c r="F15" s="25" t="s">
        <v>15</v>
      </c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ht="20.25" customHeight="1">
      <c r="A16" s="23" t="s">
        <v>22</v>
      </c>
      <c r="B16" s="24" t="s">
        <v>20</v>
      </c>
      <c r="C16" s="25">
        <v>6.0</v>
      </c>
      <c r="D16" s="26">
        <v>46092.0</v>
      </c>
      <c r="E16" s="9">
        <f t="shared" si="1"/>
        <v>46276</v>
      </c>
      <c r="F16" s="25" t="s">
        <v>15</v>
      </c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ht="20.25" customHeight="1">
      <c r="A17" s="23" t="s">
        <v>22</v>
      </c>
      <c r="B17" s="24" t="s">
        <v>17</v>
      </c>
      <c r="C17" s="25">
        <v>2.0</v>
      </c>
      <c r="D17" s="26">
        <v>46092.0</v>
      </c>
      <c r="E17" s="9">
        <f t="shared" si="1"/>
        <v>46153</v>
      </c>
      <c r="F17" s="25" t="s">
        <v>15</v>
      </c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ht="20.25" customHeight="1">
      <c r="A18" s="23" t="s">
        <v>25</v>
      </c>
      <c r="B18" s="24" t="s">
        <v>18</v>
      </c>
      <c r="C18" s="25">
        <v>1.0</v>
      </c>
      <c r="D18" s="26">
        <v>46066.0</v>
      </c>
      <c r="E18" s="9">
        <f t="shared" si="1"/>
        <v>46094</v>
      </c>
      <c r="F18" s="25" t="s">
        <v>15</v>
      </c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ht="20.25" customHeight="1">
      <c r="A19" s="23" t="s">
        <v>25</v>
      </c>
      <c r="B19" s="24" t="s">
        <v>26</v>
      </c>
      <c r="C19" s="25">
        <v>1.0</v>
      </c>
      <c r="D19" s="26">
        <v>46067.0</v>
      </c>
      <c r="E19" s="9">
        <f t="shared" si="1"/>
        <v>46095</v>
      </c>
      <c r="F19" s="25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ht="20.25" customHeight="1">
      <c r="A20" s="23" t="s">
        <v>25</v>
      </c>
      <c r="B20" s="24" t="s">
        <v>16</v>
      </c>
      <c r="C20" s="25">
        <v>1.0</v>
      </c>
      <c r="D20" s="26">
        <v>46067.0</v>
      </c>
      <c r="E20" s="9">
        <f t="shared" si="1"/>
        <v>46095</v>
      </c>
      <c r="F20" s="25" t="s">
        <v>15</v>
      </c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ht="20.25" customHeight="1">
      <c r="A21" s="23" t="s">
        <v>25</v>
      </c>
      <c r="B21" s="24" t="s">
        <v>19</v>
      </c>
      <c r="C21" s="25">
        <v>1.0</v>
      </c>
      <c r="D21" s="26">
        <v>46068.0</v>
      </c>
      <c r="E21" s="9">
        <f t="shared" si="1"/>
        <v>46096</v>
      </c>
      <c r="F21" s="25" t="s">
        <v>15</v>
      </c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ht="20.25" customHeight="1">
      <c r="A22" s="23" t="s">
        <v>27</v>
      </c>
      <c r="B22" s="24" t="s">
        <v>19</v>
      </c>
      <c r="C22" s="25">
        <v>6.0</v>
      </c>
      <c r="D22" s="26">
        <v>45990.0</v>
      </c>
      <c r="E22" s="9">
        <f t="shared" si="1"/>
        <v>46171</v>
      </c>
      <c r="F22" s="25" t="s">
        <v>15</v>
      </c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ht="20.25" customHeight="1">
      <c r="A23" s="23" t="s">
        <v>27</v>
      </c>
      <c r="B23" s="24" t="s">
        <v>28</v>
      </c>
      <c r="C23" s="25">
        <v>12.0</v>
      </c>
      <c r="D23" s="26">
        <v>45990.0</v>
      </c>
      <c r="E23" s="9">
        <f t="shared" si="1"/>
        <v>46355</v>
      </c>
      <c r="F23" s="25" t="s">
        <v>15</v>
      </c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ht="20.25" customHeight="1">
      <c r="A24" s="23" t="s">
        <v>29</v>
      </c>
      <c r="B24" s="24" t="s">
        <v>14</v>
      </c>
      <c r="C24" s="25">
        <v>1.0</v>
      </c>
      <c r="D24" s="26">
        <f>IF(MAXIFS('Respuestas de formulario 1'!$D:$D, 'Respuestas de formulario 1'!$B:$B, "*"&amp;A24&amp;"*", 'Respuestas de formulario 1'!$C:$C, "*"&amp;B24&amp;"*")=0, "", MAXIFS('Respuestas de formulario 1'!$D:$D, 'Respuestas de formulario 1'!$B:$B, "*"&amp;A24&amp;"*", 'Respuestas de formulario 1'!$C:$C, "*"&amp;B24&amp;"*"))</f>
        <v>46140</v>
      </c>
      <c r="E24" s="9">
        <f t="shared" si="1"/>
        <v>46170</v>
      </c>
      <c r="F24" s="25" t="s">
        <v>15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ht="20.25" customHeight="1">
      <c r="A25" s="23" t="s">
        <v>29</v>
      </c>
      <c r="B25" s="24" t="s">
        <v>16</v>
      </c>
      <c r="C25" s="25">
        <v>1.0</v>
      </c>
      <c r="D25" s="26">
        <f>IF(MAXIFS('Respuestas de formulario 1'!$D:$D, 'Respuestas de formulario 1'!$B:$B, "*"&amp;A25&amp;"*", 'Respuestas de formulario 1'!$C:$C, "*"&amp;B25&amp;"*")=0, "", MAXIFS('Respuestas de formulario 1'!$D:$D, 'Respuestas de formulario 1'!$B:$B, "*"&amp;A25&amp;"*", 'Respuestas de formulario 1'!$C:$C, "*"&amp;B25&amp;"*"))</f>
        <v>46140</v>
      </c>
      <c r="E25" s="9">
        <f t="shared" si="1"/>
        <v>46170</v>
      </c>
      <c r="F25" s="25" t="s">
        <v>15</v>
      </c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ht="20.25" customHeight="1">
      <c r="A26" s="23" t="s">
        <v>29</v>
      </c>
      <c r="B26" s="24" t="s">
        <v>18</v>
      </c>
      <c r="C26" s="25">
        <v>1.0</v>
      </c>
      <c r="D26" s="26">
        <v>46140.0</v>
      </c>
      <c r="E26" s="9">
        <f t="shared" si="1"/>
        <v>46170</v>
      </c>
      <c r="F26" s="25" t="s">
        <v>15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ht="20.25" customHeight="1">
      <c r="A27" s="23" t="s">
        <v>30</v>
      </c>
      <c r="B27" s="24" t="s">
        <v>14</v>
      </c>
      <c r="C27" s="25">
        <v>3.0</v>
      </c>
      <c r="D27" s="26">
        <v>46066.0</v>
      </c>
      <c r="E27" s="9">
        <f t="shared" si="1"/>
        <v>46155</v>
      </c>
      <c r="F27" s="25" t="s">
        <v>15</v>
      </c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ht="20.25" customHeight="1">
      <c r="A28" s="23" t="s">
        <v>30</v>
      </c>
      <c r="B28" s="24" t="s">
        <v>16</v>
      </c>
      <c r="C28" s="25">
        <v>3.0</v>
      </c>
      <c r="D28" s="26">
        <v>46066.0</v>
      </c>
      <c r="E28" s="9">
        <f t="shared" si="1"/>
        <v>46155</v>
      </c>
      <c r="F28" s="25" t="s">
        <v>15</v>
      </c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ht="20.25" customHeight="1">
      <c r="A29" s="23" t="s">
        <v>30</v>
      </c>
      <c r="B29" s="24" t="s">
        <v>28</v>
      </c>
      <c r="C29" s="25">
        <v>12.0</v>
      </c>
      <c r="D29" s="26">
        <v>46354.0</v>
      </c>
      <c r="E29" s="9">
        <f t="shared" si="1"/>
        <v>46719</v>
      </c>
      <c r="F29" s="25" t="s">
        <v>15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ht="20.25" customHeight="1">
      <c r="A30" s="23" t="s">
        <v>31</v>
      </c>
      <c r="B30" s="24" t="s">
        <v>14</v>
      </c>
      <c r="C30" s="25">
        <v>1.0</v>
      </c>
      <c r="D30" s="26"/>
      <c r="E30" s="9" t="str">
        <f t="shared" si="1"/>
        <v/>
      </c>
      <c r="F30" s="25" t="s">
        <v>15</v>
      </c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ht="20.25" customHeight="1">
      <c r="A31" s="23" t="s">
        <v>31</v>
      </c>
      <c r="B31" s="24" t="s">
        <v>16</v>
      </c>
      <c r="C31" s="25">
        <v>1.0</v>
      </c>
      <c r="D31" s="26"/>
      <c r="E31" s="9" t="str">
        <f t="shared" si="1"/>
        <v/>
      </c>
      <c r="F31" s="25" t="s">
        <v>15</v>
      </c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</row>
    <row r="32" ht="20.25" customHeight="1">
      <c r="A32" s="23" t="s">
        <v>31</v>
      </c>
      <c r="B32" s="24" t="s">
        <v>17</v>
      </c>
      <c r="C32" s="25">
        <v>1.0</v>
      </c>
      <c r="D32" s="26"/>
      <c r="E32" s="9" t="str">
        <f t="shared" si="1"/>
        <v/>
      </c>
      <c r="F32" s="25" t="s">
        <v>15</v>
      </c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ht="20.25" customHeight="1">
      <c r="A33" s="23" t="s">
        <v>31</v>
      </c>
      <c r="B33" s="24" t="s">
        <v>18</v>
      </c>
      <c r="C33" s="25">
        <v>1.0</v>
      </c>
      <c r="D33" s="26"/>
      <c r="E33" s="9" t="str">
        <f t="shared" si="1"/>
        <v/>
      </c>
      <c r="F33" s="25" t="s">
        <v>15</v>
      </c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ht="20.25" customHeight="1">
      <c r="A34" s="23" t="s">
        <v>31</v>
      </c>
      <c r="B34" s="24" t="s">
        <v>19</v>
      </c>
      <c r="C34" s="25">
        <v>1.0</v>
      </c>
      <c r="D34" s="26"/>
      <c r="E34" s="9" t="str">
        <f t="shared" si="1"/>
        <v/>
      </c>
      <c r="F34" s="25" t="s">
        <v>15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ht="20.25" customHeight="1">
      <c r="A35" s="23" t="s">
        <v>31</v>
      </c>
      <c r="B35" s="24" t="s">
        <v>20</v>
      </c>
      <c r="C35" s="25">
        <v>1.0</v>
      </c>
      <c r="D35" s="26"/>
      <c r="E35" s="9" t="str">
        <f t="shared" si="1"/>
        <v/>
      </c>
      <c r="F35" s="25" t="s">
        <v>15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ht="20.25" customHeight="1">
      <c r="A36" s="23" t="s">
        <v>32</v>
      </c>
      <c r="B36" s="24" t="s">
        <v>14</v>
      </c>
      <c r="C36" s="25">
        <v>1.0</v>
      </c>
      <c r="D36" s="26"/>
      <c r="E36" s="9" t="str">
        <f t="shared" si="1"/>
        <v/>
      </c>
      <c r="F36" s="25" t="s">
        <v>15</v>
      </c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ht="20.25" customHeight="1">
      <c r="A37" s="23" t="s">
        <v>32</v>
      </c>
      <c r="B37" s="24" t="s">
        <v>16</v>
      </c>
      <c r="C37" s="25">
        <v>1.0</v>
      </c>
      <c r="D37" s="26"/>
      <c r="E37" s="9" t="str">
        <f t="shared" si="1"/>
        <v/>
      </c>
      <c r="F37" s="25" t="s">
        <v>15</v>
      </c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ht="20.25" customHeight="1">
      <c r="A38" s="23" t="s">
        <v>32</v>
      </c>
      <c r="B38" s="24" t="s">
        <v>18</v>
      </c>
      <c r="C38" s="25">
        <v>1.0</v>
      </c>
      <c r="D38" s="26"/>
      <c r="E38" s="9" t="str">
        <f t="shared" si="1"/>
        <v/>
      </c>
      <c r="F38" s="25" t="s">
        <v>15</v>
      </c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ht="20.25" customHeight="1">
      <c r="A39" s="23" t="s">
        <v>32</v>
      </c>
      <c r="B39" s="24" t="s">
        <v>19</v>
      </c>
      <c r="C39" s="25">
        <v>1.0</v>
      </c>
      <c r="D39" s="26"/>
      <c r="E39" s="9" t="str">
        <f t="shared" si="1"/>
        <v/>
      </c>
      <c r="F39" s="25" t="s">
        <v>15</v>
      </c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ht="20.25" customHeight="1">
      <c r="A40" s="23" t="s">
        <v>32</v>
      </c>
      <c r="B40" s="24" t="s">
        <v>20</v>
      </c>
      <c r="C40" s="25">
        <v>1.0</v>
      </c>
      <c r="D40" s="26"/>
      <c r="E40" s="9" t="str">
        <f t="shared" si="1"/>
        <v/>
      </c>
      <c r="F40" s="25" t="s">
        <v>15</v>
      </c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ht="20.25" customHeight="1">
      <c r="A41" s="23" t="s">
        <v>33</v>
      </c>
      <c r="B41" s="24" t="s">
        <v>14</v>
      </c>
      <c r="C41" s="25">
        <v>1.0</v>
      </c>
      <c r="D41" s="26"/>
      <c r="E41" s="9" t="str">
        <f t="shared" si="1"/>
        <v/>
      </c>
      <c r="F41" s="25" t="s">
        <v>15</v>
      </c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ht="20.25" customHeight="1">
      <c r="A42" s="23" t="s">
        <v>33</v>
      </c>
      <c r="B42" s="24" t="s">
        <v>16</v>
      </c>
      <c r="C42" s="25">
        <v>1.0</v>
      </c>
      <c r="D42" s="26"/>
      <c r="E42" s="9" t="str">
        <f t="shared" si="1"/>
        <v/>
      </c>
      <c r="F42" s="25" t="s">
        <v>15</v>
      </c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ht="20.25" customHeight="1">
      <c r="A43" s="23" t="s">
        <v>33</v>
      </c>
      <c r="B43" s="24" t="s">
        <v>17</v>
      </c>
      <c r="C43" s="25">
        <v>2.0</v>
      </c>
      <c r="D43" s="26"/>
      <c r="E43" s="9" t="str">
        <f t="shared" si="1"/>
        <v/>
      </c>
      <c r="F43" s="25" t="s">
        <v>15</v>
      </c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ht="20.25" customHeight="1">
      <c r="A44" s="23" t="s">
        <v>33</v>
      </c>
      <c r="B44" s="24" t="s">
        <v>18</v>
      </c>
      <c r="C44" s="25">
        <v>3.0</v>
      </c>
      <c r="D44" s="26"/>
      <c r="E44" s="9" t="str">
        <f t="shared" si="1"/>
        <v/>
      </c>
      <c r="F44" s="25" t="s">
        <v>15</v>
      </c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ht="20.25" customHeight="1">
      <c r="A45" s="23" t="s">
        <v>33</v>
      </c>
      <c r="B45" s="24" t="s">
        <v>19</v>
      </c>
      <c r="C45" s="25">
        <v>6.0</v>
      </c>
      <c r="D45" s="26"/>
      <c r="E45" s="9" t="str">
        <f t="shared" si="1"/>
        <v/>
      </c>
      <c r="F45" s="25" t="s">
        <v>15</v>
      </c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ht="20.25" customHeight="1">
      <c r="A46" s="23" t="s">
        <v>33</v>
      </c>
      <c r="B46" s="24" t="s">
        <v>20</v>
      </c>
      <c r="C46" s="25">
        <v>6.0</v>
      </c>
      <c r="D46" s="26"/>
      <c r="E46" s="9" t="str">
        <f t="shared" si="1"/>
        <v/>
      </c>
      <c r="F46" s="25" t="s">
        <v>15</v>
      </c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ht="20.25" customHeight="1">
      <c r="A47" s="23" t="s">
        <v>34</v>
      </c>
      <c r="B47" s="24" t="s">
        <v>14</v>
      </c>
      <c r="C47" s="25">
        <v>1.0</v>
      </c>
      <c r="D47" s="26">
        <v>46140.0</v>
      </c>
      <c r="E47" s="9">
        <f t="shared" si="1"/>
        <v>46170</v>
      </c>
      <c r="F47" s="25" t="s">
        <v>15</v>
      </c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ht="20.25" customHeight="1">
      <c r="A48" s="23" t="s">
        <v>34</v>
      </c>
      <c r="B48" s="24" t="s">
        <v>16</v>
      </c>
      <c r="C48" s="25">
        <v>1.0</v>
      </c>
      <c r="D48" s="26">
        <v>46140.0</v>
      </c>
      <c r="E48" s="9">
        <f t="shared" si="1"/>
        <v>46170</v>
      </c>
      <c r="F48" s="25" t="s">
        <v>15</v>
      </c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ht="20.25" customHeight="1">
      <c r="A49" s="23" t="s">
        <v>34</v>
      </c>
      <c r="B49" s="24" t="s">
        <v>35</v>
      </c>
      <c r="C49" s="25">
        <v>1.0</v>
      </c>
      <c r="D49" s="26">
        <v>46092.0</v>
      </c>
      <c r="E49" s="9">
        <f t="shared" si="1"/>
        <v>46123</v>
      </c>
      <c r="F49" s="25" t="s">
        <v>15</v>
      </c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ht="20.25" customHeight="1">
      <c r="A50" s="23" t="s">
        <v>34</v>
      </c>
      <c r="B50" s="24" t="s">
        <v>19</v>
      </c>
      <c r="C50" s="25">
        <v>2.0</v>
      </c>
      <c r="D50" s="26">
        <v>46140.0</v>
      </c>
      <c r="E50" s="9">
        <f t="shared" si="1"/>
        <v>46201</v>
      </c>
      <c r="F50" s="25" t="s">
        <v>15</v>
      </c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ht="20.25" customHeight="1">
      <c r="A51" s="23" t="s">
        <v>36</v>
      </c>
      <c r="B51" s="24" t="s">
        <v>18</v>
      </c>
      <c r="C51" s="25">
        <v>1.0</v>
      </c>
      <c r="D51" s="26"/>
      <c r="E51" s="9" t="str">
        <f t="shared" si="1"/>
        <v/>
      </c>
      <c r="F51" s="25" t="s">
        <v>15</v>
      </c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ht="20.25" customHeight="1">
      <c r="A52" s="23" t="s">
        <v>36</v>
      </c>
      <c r="B52" s="24" t="s">
        <v>14</v>
      </c>
      <c r="C52" s="25">
        <v>1.0</v>
      </c>
      <c r="D52" s="26"/>
      <c r="E52" s="9" t="str">
        <f t="shared" si="1"/>
        <v/>
      </c>
      <c r="F52" s="25" t="s">
        <v>15</v>
      </c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  <row r="53" ht="20.25" customHeight="1">
      <c r="A53" s="23" t="s">
        <v>36</v>
      </c>
      <c r="B53" s="24" t="s">
        <v>16</v>
      </c>
      <c r="C53" s="25">
        <v>1.0</v>
      </c>
      <c r="D53" s="26"/>
      <c r="E53" s="9" t="str">
        <f t="shared" si="1"/>
        <v/>
      </c>
      <c r="F53" s="25" t="s">
        <v>15</v>
      </c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</row>
    <row r="54" ht="20.25" customHeight="1">
      <c r="A54" s="23" t="s">
        <v>36</v>
      </c>
      <c r="B54" s="24" t="s">
        <v>19</v>
      </c>
      <c r="C54" s="25">
        <v>1.0</v>
      </c>
      <c r="D54" s="26"/>
      <c r="E54" s="9" t="str">
        <f t="shared" si="1"/>
        <v/>
      </c>
      <c r="F54" s="25" t="s">
        <v>15</v>
      </c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</row>
    <row r="55" ht="20.25" customHeight="1">
      <c r="A55" s="23" t="s">
        <v>36</v>
      </c>
      <c r="B55" s="24" t="s">
        <v>20</v>
      </c>
      <c r="C55" s="25">
        <v>1.0</v>
      </c>
      <c r="D55" s="26"/>
      <c r="E55" s="9" t="str">
        <f t="shared" si="1"/>
        <v/>
      </c>
      <c r="F55" s="25" t="s">
        <v>15</v>
      </c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</row>
    <row r="56" ht="20.25" customHeight="1">
      <c r="A56" s="23" t="s">
        <v>36</v>
      </c>
      <c r="B56" s="24" t="s">
        <v>28</v>
      </c>
      <c r="C56" s="25">
        <v>12.0</v>
      </c>
      <c r="D56" s="26">
        <v>45991.0</v>
      </c>
      <c r="E56" s="9">
        <f t="shared" si="1"/>
        <v>46356</v>
      </c>
      <c r="F56" s="25" t="s">
        <v>15</v>
      </c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</row>
    <row r="57" ht="20.25" customHeight="1">
      <c r="A57" s="23" t="s">
        <v>37</v>
      </c>
      <c r="B57" s="24" t="s">
        <v>14</v>
      </c>
      <c r="C57" s="25">
        <v>1.0</v>
      </c>
      <c r="D57" s="26"/>
      <c r="E57" s="9" t="str">
        <f t="shared" si="1"/>
        <v/>
      </c>
      <c r="F57" s="25" t="s">
        <v>15</v>
      </c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</row>
    <row r="58" ht="20.25" customHeight="1">
      <c r="A58" s="23" t="s">
        <v>37</v>
      </c>
      <c r="B58" s="24" t="s">
        <v>16</v>
      </c>
      <c r="C58" s="25">
        <v>1.0</v>
      </c>
      <c r="D58" s="26"/>
      <c r="E58" s="9" t="str">
        <f t="shared" si="1"/>
        <v/>
      </c>
      <c r="F58" s="25" t="s">
        <v>15</v>
      </c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</row>
    <row r="59" ht="20.25" customHeight="1">
      <c r="A59" s="23" t="s">
        <v>37</v>
      </c>
      <c r="B59" s="24" t="s">
        <v>20</v>
      </c>
      <c r="C59" s="25">
        <v>6.0</v>
      </c>
      <c r="D59" s="26"/>
      <c r="E59" s="9" t="str">
        <f t="shared" si="1"/>
        <v/>
      </c>
      <c r="F59" s="25" t="s">
        <v>15</v>
      </c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</row>
    <row r="60" ht="20.25" customHeight="1">
      <c r="A60" s="23" t="s">
        <v>38</v>
      </c>
      <c r="B60" s="24" t="s">
        <v>18</v>
      </c>
      <c r="C60" s="25">
        <v>1.0</v>
      </c>
      <c r="D60" s="26"/>
      <c r="E60" s="9" t="str">
        <f t="shared" si="1"/>
        <v/>
      </c>
      <c r="F60" s="25" t="s">
        <v>15</v>
      </c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</row>
    <row r="61" ht="20.25" customHeight="1">
      <c r="A61" s="23" t="s">
        <v>38</v>
      </c>
      <c r="B61" s="24" t="s">
        <v>14</v>
      </c>
      <c r="C61" s="25">
        <v>1.0</v>
      </c>
      <c r="D61" s="26"/>
      <c r="E61" s="9" t="str">
        <f t="shared" si="1"/>
        <v/>
      </c>
      <c r="F61" s="25" t="s">
        <v>15</v>
      </c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</row>
    <row r="62" ht="20.25" customHeight="1">
      <c r="A62" s="23" t="s">
        <v>38</v>
      </c>
      <c r="B62" s="24" t="s">
        <v>16</v>
      </c>
      <c r="C62" s="25">
        <v>1.0</v>
      </c>
      <c r="D62" s="26"/>
      <c r="E62" s="9" t="str">
        <f t="shared" si="1"/>
        <v/>
      </c>
      <c r="F62" s="25" t="s">
        <v>15</v>
      </c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</row>
    <row r="63" ht="20.25" customHeight="1">
      <c r="A63" s="23" t="s">
        <v>38</v>
      </c>
      <c r="B63" s="24" t="s">
        <v>19</v>
      </c>
      <c r="C63" s="25">
        <v>1.0</v>
      </c>
      <c r="D63" s="26"/>
      <c r="E63" s="9" t="str">
        <f t="shared" si="1"/>
        <v/>
      </c>
      <c r="F63" s="25" t="s">
        <v>15</v>
      </c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</row>
    <row r="64" ht="20.25" customHeight="1">
      <c r="A64" s="23" t="s">
        <v>38</v>
      </c>
      <c r="B64" s="24" t="s">
        <v>20</v>
      </c>
      <c r="C64" s="25">
        <v>1.0</v>
      </c>
      <c r="D64" s="26"/>
      <c r="E64" s="9" t="str">
        <f t="shared" si="1"/>
        <v/>
      </c>
      <c r="F64" s="25" t="s">
        <v>15</v>
      </c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</row>
    <row r="65" ht="20.25" customHeight="1">
      <c r="A65" s="23" t="s">
        <v>39</v>
      </c>
      <c r="B65" s="24" t="s">
        <v>14</v>
      </c>
      <c r="C65" s="25">
        <v>1.0</v>
      </c>
      <c r="D65" s="26">
        <v>45974.0</v>
      </c>
      <c r="E65" s="9">
        <f t="shared" si="1"/>
        <v>46004</v>
      </c>
      <c r="F65" s="25" t="s">
        <v>15</v>
      </c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</row>
    <row r="66" ht="20.25" customHeight="1">
      <c r="A66" s="23" t="s">
        <v>39</v>
      </c>
      <c r="B66" s="24" t="s">
        <v>16</v>
      </c>
      <c r="C66" s="25">
        <v>1.0</v>
      </c>
      <c r="D66" s="26">
        <v>45974.0</v>
      </c>
      <c r="E66" s="9">
        <f t="shared" si="1"/>
        <v>46004</v>
      </c>
      <c r="F66" s="25" t="s">
        <v>15</v>
      </c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</row>
    <row r="67" ht="20.25" customHeight="1">
      <c r="A67" s="23" t="s">
        <v>39</v>
      </c>
      <c r="B67" s="24" t="s">
        <v>17</v>
      </c>
      <c r="C67" s="25">
        <v>1.0</v>
      </c>
      <c r="D67" s="26">
        <v>46155.0</v>
      </c>
      <c r="E67" s="9">
        <f t="shared" si="1"/>
        <v>46186</v>
      </c>
      <c r="F67" s="25" t="s">
        <v>15</v>
      </c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</row>
    <row r="68" ht="20.25" customHeight="1">
      <c r="A68" s="23" t="s">
        <v>39</v>
      </c>
      <c r="B68" s="24" t="s">
        <v>19</v>
      </c>
      <c r="C68" s="25">
        <v>6.0</v>
      </c>
      <c r="D68" s="26">
        <v>45974.0</v>
      </c>
      <c r="E68" s="9">
        <f t="shared" si="1"/>
        <v>46155</v>
      </c>
      <c r="F68" s="25" t="s">
        <v>15</v>
      </c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</row>
    <row r="69" ht="20.25" customHeight="1">
      <c r="A69" s="23" t="s">
        <v>39</v>
      </c>
      <c r="B69" s="24" t="s">
        <v>28</v>
      </c>
      <c r="C69" s="25">
        <v>12.0</v>
      </c>
      <c r="D69" s="26">
        <v>45990.0</v>
      </c>
      <c r="E69" s="9">
        <f t="shared" si="1"/>
        <v>46355</v>
      </c>
      <c r="F69" s="25" t="s">
        <v>15</v>
      </c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</row>
    <row r="70" ht="20.25" customHeight="1">
      <c r="A70" s="23" t="s">
        <v>39</v>
      </c>
      <c r="B70" s="24" t="s">
        <v>18</v>
      </c>
      <c r="C70" s="25">
        <v>3.0</v>
      </c>
      <c r="D70" s="26">
        <v>45990.0</v>
      </c>
      <c r="E70" s="9">
        <f t="shared" si="1"/>
        <v>46081</v>
      </c>
      <c r="F70" s="25" t="s">
        <v>15</v>
      </c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</row>
    <row r="71" ht="20.25" customHeight="1">
      <c r="A71" s="23" t="s">
        <v>39</v>
      </c>
      <c r="B71" s="24" t="s">
        <v>20</v>
      </c>
      <c r="C71" s="25">
        <v>6.0</v>
      </c>
      <c r="D71" s="26">
        <v>45990.0</v>
      </c>
      <c r="E71" s="9">
        <f t="shared" si="1"/>
        <v>46171</v>
      </c>
      <c r="F71" s="25" t="s">
        <v>15</v>
      </c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</row>
    <row r="72" ht="20.25" customHeight="1">
      <c r="A72" s="23" t="s">
        <v>40</v>
      </c>
      <c r="B72" s="24" t="s">
        <v>14</v>
      </c>
      <c r="C72" s="25">
        <v>3.0</v>
      </c>
      <c r="D72" s="26">
        <v>46077.0</v>
      </c>
      <c r="E72" s="9">
        <f t="shared" si="1"/>
        <v>46166</v>
      </c>
      <c r="F72" s="25" t="s">
        <v>15</v>
      </c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</row>
    <row r="73" ht="20.25" customHeight="1">
      <c r="A73" s="23" t="s">
        <v>40</v>
      </c>
      <c r="B73" s="24" t="s">
        <v>16</v>
      </c>
      <c r="C73" s="25">
        <v>3.0</v>
      </c>
      <c r="D73" s="26">
        <v>46077.0</v>
      </c>
      <c r="E73" s="9">
        <f t="shared" si="1"/>
        <v>46166</v>
      </c>
      <c r="F73" s="25" t="s">
        <v>15</v>
      </c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</row>
    <row r="74" ht="20.25" customHeight="1">
      <c r="A74" s="23" t="s">
        <v>40</v>
      </c>
      <c r="B74" s="24" t="s">
        <v>17</v>
      </c>
      <c r="C74" s="25">
        <v>1.0</v>
      </c>
      <c r="D74" s="26">
        <v>46077.0</v>
      </c>
      <c r="E74" s="9">
        <f t="shared" si="1"/>
        <v>46105</v>
      </c>
      <c r="F74" s="25" t="s">
        <v>15</v>
      </c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</row>
    <row r="75" ht="20.25" customHeight="1">
      <c r="A75" s="23" t="s">
        <v>40</v>
      </c>
      <c r="B75" s="24" t="s">
        <v>28</v>
      </c>
      <c r="C75" s="25">
        <v>12.0</v>
      </c>
      <c r="D75" s="26">
        <v>46077.0</v>
      </c>
      <c r="E75" s="9">
        <f t="shared" si="1"/>
        <v>46442</v>
      </c>
      <c r="F75" s="25" t="s">
        <v>15</v>
      </c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</row>
    <row r="76" ht="20.25" customHeight="1">
      <c r="A76" s="23" t="s">
        <v>40</v>
      </c>
      <c r="B76" s="24" t="s">
        <v>19</v>
      </c>
      <c r="C76" s="25">
        <v>6.0</v>
      </c>
      <c r="D76" s="26">
        <v>46077.0</v>
      </c>
      <c r="E76" s="9">
        <f t="shared" si="1"/>
        <v>46258</v>
      </c>
      <c r="F76" s="25" t="s">
        <v>15</v>
      </c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</row>
    <row r="77" ht="20.25" customHeight="1">
      <c r="A77" s="23" t="s">
        <v>40</v>
      </c>
      <c r="B77" s="24" t="s">
        <v>18</v>
      </c>
      <c r="C77" s="25">
        <v>12.0</v>
      </c>
      <c r="D77" s="26">
        <v>46077.0</v>
      </c>
      <c r="E77" s="9">
        <f t="shared" si="1"/>
        <v>46442</v>
      </c>
      <c r="F77" s="25" t="s">
        <v>15</v>
      </c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</row>
    <row r="78" ht="20.25" customHeight="1">
      <c r="A78" s="23" t="s">
        <v>40</v>
      </c>
      <c r="B78" s="24" t="s">
        <v>20</v>
      </c>
      <c r="C78" s="25">
        <v>6.0</v>
      </c>
      <c r="D78" s="26">
        <v>46077.0</v>
      </c>
      <c r="E78" s="9">
        <f t="shared" si="1"/>
        <v>46258</v>
      </c>
      <c r="F78" s="25" t="s">
        <v>15</v>
      </c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</row>
    <row r="79" ht="20.25" customHeight="1">
      <c r="A79" s="23" t="s">
        <v>41</v>
      </c>
      <c r="B79" s="24" t="s">
        <v>19</v>
      </c>
      <c r="C79" s="25">
        <v>4.0</v>
      </c>
      <c r="D79" s="26">
        <f>IF(MAXIFS('Respuestas de formulario 1'!$D:$D, 'Respuestas de formulario 1'!$B:$B, "*"&amp;A79&amp;"*", 'Respuestas de formulario 1'!$C:$C, "*"&amp;B79&amp;"*")=0, "", MAXIFS('Respuestas de formulario 1'!$D:$D, 'Respuestas de formulario 1'!$B:$B, "*"&amp;A79&amp;"*", 'Respuestas de formulario 1'!$C:$C, "*"&amp;B79&amp;"*"))</f>
        <v>46140</v>
      </c>
      <c r="E79" s="9">
        <f t="shared" si="1"/>
        <v>46262</v>
      </c>
      <c r="F79" s="25" t="s">
        <v>15</v>
      </c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</row>
    <row r="80" ht="20.25" customHeight="1">
      <c r="A80" s="23" t="s">
        <v>41</v>
      </c>
      <c r="B80" s="24" t="s">
        <v>14</v>
      </c>
      <c r="C80" s="25">
        <v>1.0</v>
      </c>
      <c r="D80" s="26">
        <v>46141.0</v>
      </c>
      <c r="E80" s="9">
        <f t="shared" si="1"/>
        <v>46171</v>
      </c>
      <c r="F80" s="25" t="s">
        <v>15</v>
      </c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</row>
    <row r="81" ht="20.25" customHeight="1">
      <c r="A81" s="23" t="s">
        <v>41</v>
      </c>
      <c r="B81" s="24" t="s">
        <v>16</v>
      </c>
      <c r="C81" s="25">
        <v>1.0</v>
      </c>
      <c r="D81" s="26">
        <v>46141.0</v>
      </c>
      <c r="E81" s="9">
        <f t="shared" si="1"/>
        <v>46171</v>
      </c>
      <c r="F81" s="25" t="s">
        <v>15</v>
      </c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</row>
    <row r="82" ht="20.25" customHeight="1">
      <c r="A82" s="23" t="s">
        <v>41</v>
      </c>
      <c r="B82" s="24" t="s">
        <v>17</v>
      </c>
      <c r="C82" s="25">
        <v>1.0</v>
      </c>
      <c r="D82" s="26">
        <v>46141.0</v>
      </c>
      <c r="E82" s="9">
        <f t="shared" si="1"/>
        <v>46171</v>
      </c>
      <c r="F82" s="25" t="s">
        <v>15</v>
      </c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</row>
    <row r="83" ht="20.25" customHeight="1">
      <c r="A83" s="23" t="s">
        <v>41</v>
      </c>
      <c r="B83" s="24" t="s">
        <v>18</v>
      </c>
      <c r="C83" s="25">
        <v>3.0</v>
      </c>
      <c r="D83" s="26">
        <v>46141.0</v>
      </c>
      <c r="E83" s="9">
        <f t="shared" si="1"/>
        <v>46232</v>
      </c>
      <c r="F83" s="25" t="s">
        <v>15</v>
      </c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</row>
    <row r="84" ht="20.25" customHeight="1">
      <c r="A84" s="23" t="s">
        <v>41</v>
      </c>
      <c r="B84" s="24" t="s">
        <v>20</v>
      </c>
      <c r="C84" s="25">
        <v>6.0</v>
      </c>
      <c r="D84" s="26">
        <v>46141.0</v>
      </c>
      <c r="E84" s="9">
        <f t="shared" si="1"/>
        <v>46324</v>
      </c>
      <c r="F84" s="25" t="s">
        <v>15</v>
      </c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</row>
    <row r="85" ht="20.25" customHeight="1">
      <c r="A85" s="23" t="s">
        <v>41</v>
      </c>
      <c r="B85" s="24" t="s">
        <v>19</v>
      </c>
      <c r="C85" s="25">
        <v>6.0</v>
      </c>
      <c r="D85" s="26">
        <v>46141.0</v>
      </c>
      <c r="E85" s="9">
        <f t="shared" si="1"/>
        <v>46324</v>
      </c>
      <c r="F85" s="25" t="s">
        <v>15</v>
      </c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</row>
    <row r="86" ht="20.25" customHeight="1">
      <c r="A86" s="23" t="s">
        <v>42</v>
      </c>
      <c r="B86" s="24" t="s">
        <v>14</v>
      </c>
      <c r="C86" s="25">
        <v>1.0</v>
      </c>
      <c r="D86" s="26">
        <v>46141.0</v>
      </c>
      <c r="E86" s="9">
        <f t="shared" si="1"/>
        <v>46171</v>
      </c>
      <c r="F86" s="25" t="s">
        <v>15</v>
      </c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</row>
    <row r="87" ht="20.25" customHeight="1">
      <c r="A87" s="23" t="s">
        <v>42</v>
      </c>
      <c r="B87" s="24" t="s">
        <v>16</v>
      </c>
      <c r="C87" s="25">
        <v>1.0</v>
      </c>
      <c r="D87" s="26">
        <v>46141.0</v>
      </c>
      <c r="E87" s="9">
        <f t="shared" si="1"/>
        <v>46171</v>
      </c>
      <c r="F87" s="25" t="s">
        <v>15</v>
      </c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</row>
    <row r="88" ht="20.25" customHeight="1">
      <c r="A88" s="23" t="s">
        <v>42</v>
      </c>
      <c r="B88" s="24" t="s">
        <v>17</v>
      </c>
      <c r="C88" s="25">
        <v>1.0</v>
      </c>
      <c r="D88" s="26">
        <v>46141.0</v>
      </c>
      <c r="E88" s="9">
        <f t="shared" si="1"/>
        <v>46171</v>
      </c>
      <c r="F88" s="25" t="s">
        <v>15</v>
      </c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</row>
    <row r="89" ht="20.25" customHeight="1">
      <c r="A89" s="23" t="s">
        <v>42</v>
      </c>
      <c r="B89" s="24" t="s">
        <v>19</v>
      </c>
      <c r="C89" s="25">
        <v>1.0</v>
      </c>
      <c r="D89" s="26">
        <v>46141.0</v>
      </c>
      <c r="E89" s="9">
        <f t="shared" si="1"/>
        <v>46171</v>
      </c>
      <c r="F89" s="25" t="s">
        <v>15</v>
      </c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</row>
    <row r="90" ht="20.25" customHeight="1">
      <c r="A90" s="23" t="s">
        <v>42</v>
      </c>
      <c r="B90" s="24" t="s">
        <v>28</v>
      </c>
      <c r="C90" s="25">
        <v>6.0</v>
      </c>
      <c r="D90" s="26">
        <v>45991.0</v>
      </c>
      <c r="E90" s="9">
        <f t="shared" si="1"/>
        <v>46172</v>
      </c>
      <c r="F90" s="25" t="s">
        <v>15</v>
      </c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</row>
    <row r="91" ht="20.25" customHeight="1">
      <c r="A91" s="23" t="s">
        <v>42</v>
      </c>
      <c r="B91" s="24" t="s">
        <v>18</v>
      </c>
      <c r="C91" s="25">
        <v>1.0</v>
      </c>
      <c r="D91" s="26">
        <v>46141.0</v>
      </c>
      <c r="E91" s="9">
        <f t="shared" si="1"/>
        <v>46171</v>
      </c>
      <c r="F91" s="25" t="s">
        <v>15</v>
      </c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</row>
    <row r="92" ht="20.25" customHeight="1">
      <c r="A92" s="23" t="s">
        <v>42</v>
      </c>
      <c r="B92" s="24" t="s">
        <v>20</v>
      </c>
      <c r="C92" s="25">
        <v>1.0</v>
      </c>
      <c r="D92" s="26">
        <v>46141.0</v>
      </c>
      <c r="E92" s="9">
        <f t="shared" si="1"/>
        <v>46171</v>
      </c>
      <c r="F92" s="25" t="s">
        <v>15</v>
      </c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</row>
    <row r="93" ht="20.25" customHeight="1">
      <c r="A93" s="23" t="s">
        <v>43</v>
      </c>
      <c r="B93" s="24" t="s">
        <v>14</v>
      </c>
      <c r="C93" s="25">
        <v>1.0</v>
      </c>
      <c r="D93" s="26">
        <v>46141.0</v>
      </c>
      <c r="E93" s="9">
        <f t="shared" si="1"/>
        <v>46171</v>
      </c>
      <c r="F93" s="25" t="s">
        <v>15</v>
      </c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</row>
    <row r="94" ht="20.25" customHeight="1">
      <c r="A94" s="23" t="s">
        <v>43</v>
      </c>
      <c r="B94" s="24" t="s">
        <v>16</v>
      </c>
      <c r="C94" s="25">
        <v>1.0</v>
      </c>
      <c r="D94" s="26">
        <v>46141.0</v>
      </c>
      <c r="E94" s="9">
        <f t="shared" si="1"/>
        <v>46171</v>
      </c>
      <c r="F94" s="25" t="s">
        <v>15</v>
      </c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</row>
    <row r="95" ht="20.25" customHeight="1">
      <c r="A95" s="23" t="s">
        <v>43</v>
      </c>
      <c r="B95" s="24" t="s">
        <v>17</v>
      </c>
      <c r="C95" s="25">
        <v>1.0</v>
      </c>
      <c r="D95" s="26">
        <v>46141.0</v>
      </c>
      <c r="E95" s="9">
        <f t="shared" si="1"/>
        <v>46171</v>
      </c>
      <c r="F95" s="25" t="s">
        <v>15</v>
      </c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</row>
    <row r="96" ht="20.25" customHeight="1">
      <c r="A96" s="23" t="s">
        <v>43</v>
      </c>
      <c r="B96" s="24" t="s">
        <v>19</v>
      </c>
      <c r="C96" s="25">
        <v>1.0</v>
      </c>
      <c r="D96" s="26">
        <v>46141.0</v>
      </c>
      <c r="E96" s="9">
        <f t="shared" si="1"/>
        <v>46171</v>
      </c>
      <c r="F96" s="25" t="s">
        <v>15</v>
      </c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</row>
    <row r="97" ht="20.25" customHeight="1">
      <c r="A97" s="23" t="s">
        <v>43</v>
      </c>
      <c r="B97" s="24" t="s">
        <v>28</v>
      </c>
      <c r="C97" s="25">
        <v>12.0</v>
      </c>
      <c r="D97" s="26">
        <v>45991.0</v>
      </c>
      <c r="E97" s="9">
        <f t="shared" si="1"/>
        <v>46356</v>
      </c>
      <c r="F97" s="25" t="s">
        <v>15</v>
      </c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</row>
    <row r="98" ht="20.25" customHeight="1">
      <c r="A98" s="23" t="s">
        <v>43</v>
      </c>
      <c r="B98" s="24" t="s">
        <v>18</v>
      </c>
      <c r="C98" s="25">
        <v>1.0</v>
      </c>
      <c r="D98" s="26">
        <v>46141.0</v>
      </c>
      <c r="E98" s="9">
        <f t="shared" si="1"/>
        <v>46171</v>
      </c>
      <c r="F98" s="25" t="s">
        <v>15</v>
      </c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</row>
    <row r="99" ht="20.25" customHeight="1">
      <c r="A99" s="23" t="s">
        <v>43</v>
      </c>
      <c r="B99" s="24" t="s">
        <v>20</v>
      </c>
      <c r="C99" s="25">
        <v>1.0</v>
      </c>
      <c r="D99" s="26">
        <v>46141.0</v>
      </c>
      <c r="E99" s="9">
        <f t="shared" si="1"/>
        <v>46171</v>
      </c>
      <c r="F99" s="25" t="s">
        <v>15</v>
      </c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</row>
    <row r="100" ht="20.25" customHeight="1">
      <c r="A100" s="23" t="s">
        <v>44</v>
      </c>
      <c r="B100" s="24" t="s">
        <v>14</v>
      </c>
      <c r="C100" s="25">
        <v>1.0</v>
      </c>
      <c r="D100" s="26">
        <v>46140.0</v>
      </c>
      <c r="E100" s="9">
        <f t="shared" si="1"/>
        <v>46170</v>
      </c>
      <c r="F100" s="25" t="s">
        <v>15</v>
      </c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</row>
    <row r="101" ht="20.25" customHeight="1">
      <c r="A101" s="23" t="s">
        <v>44</v>
      </c>
      <c r="B101" s="24" t="s">
        <v>16</v>
      </c>
      <c r="C101" s="25">
        <v>1.0</v>
      </c>
      <c r="D101" s="26">
        <v>46140.0</v>
      </c>
      <c r="E101" s="9">
        <f t="shared" si="1"/>
        <v>46170</v>
      </c>
      <c r="F101" s="25" t="s">
        <v>15</v>
      </c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</row>
    <row r="102" ht="20.25" customHeight="1">
      <c r="A102" s="23" t="s">
        <v>44</v>
      </c>
      <c r="B102" s="24" t="s">
        <v>18</v>
      </c>
      <c r="C102" s="25">
        <v>1.0</v>
      </c>
      <c r="D102" s="26">
        <v>46140.0</v>
      </c>
      <c r="E102" s="9">
        <f t="shared" si="1"/>
        <v>46170</v>
      </c>
      <c r="F102" s="25" t="s">
        <v>15</v>
      </c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</row>
    <row r="103" ht="20.25" customHeight="1">
      <c r="A103" s="23" t="s">
        <v>45</v>
      </c>
      <c r="B103" s="24" t="s">
        <v>14</v>
      </c>
      <c r="C103" s="25">
        <v>3.0</v>
      </c>
      <c r="D103" s="26">
        <v>46140.0</v>
      </c>
      <c r="E103" s="9">
        <f t="shared" si="1"/>
        <v>46231</v>
      </c>
      <c r="F103" s="25" t="s">
        <v>15</v>
      </c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</row>
    <row r="104" ht="20.25" customHeight="1">
      <c r="A104" s="23" t="s">
        <v>45</v>
      </c>
      <c r="B104" s="24" t="s">
        <v>16</v>
      </c>
      <c r="C104" s="25">
        <v>3.0</v>
      </c>
      <c r="D104" s="26">
        <v>46140.0</v>
      </c>
      <c r="E104" s="9">
        <f t="shared" si="1"/>
        <v>46231</v>
      </c>
      <c r="F104" s="25" t="s">
        <v>15</v>
      </c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</row>
    <row r="105" ht="20.25" customHeight="1">
      <c r="A105" s="23" t="s">
        <v>46</v>
      </c>
      <c r="B105" s="24" t="s">
        <v>14</v>
      </c>
      <c r="C105" s="25">
        <v>2.0</v>
      </c>
      <c r="D105" s="26">
        <v>46092.0</v>
      </c>
      <c r="E105" s="9">
        <f t="shared" si="1"/>
        <v>46153</v>
      </c>
      <c r="F105" s="25" t="s">
        <v>15</v>
      </c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</row>
    <row r="106" ht="20.25" customHeight="1">
      <c r="A106" s="23" t="s">
        <v>46</v>
      </c>
      <c r="B106" s="24" t="s">
        <v>16</v>
      </c>
      <c r="C106" s="25">
        <v>2.0</v>
      </c>
      <c r="D106" s="26">
        <v>46092.0</v>
      </c>
      <c r="E106" s="9">
        <f t="shared" si="1"/>
        <v>46153</v>
      </c>
      <c r="F106" s="25" t="s">
        <v>15</v>
      </c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</row>
    <row r="107" ht="20.25" customHeight="1">
      <c r="A107" s="23" t="s">
        <v>46</v>
      </c>
      <c r="B107" s="24" t="s">
        <v>17</v>
      </c>
      <c r="C107" s="25">
        <v>2.0</v>
      </c>
      <c r="D107" s="26">
        <v>46092.0</v>
      </c>
      <c r="E107" s="9">
        <f t="shared" si="1"/>
        <v>46153</v>
      </c>
      <c r="F107" s="25" t="s">
        <v>15</v>
      </c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</row>
    <row r="108" ht="20.25" customHeight="1">
      <c r="A108" s="23" t="s">
        <v>46</v>
      </c>
      <c r="B108" s="24" t="s">
        <v>18</v>
      </c>
      <c r="C108" s="25">
        <v>3.0</v>
      </c>
      <c r="D108" s="26">
        <v>46092.0</v>
      </c>
      <c r="E108" s="9">
        <f t="shared" si="1"/>
        <v>46184</v>
      </c>
      <c r="F108" s="25" t="s">
        <v>15</v>
      </c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</row>
    <row r="109" ht="20.25" customHeight="1">
      <c r="A109" s="23" t="s">
        <v>47</v>
      </c>
      <c r="B109" s="24" t="s">
        <v>14</v>
      </c>
      <c r="C109" s="25">
        <v>2.0</v>
      </c>
      <c r="D109" s="26">
        <v>46092.0</v>
      </c>
      <c r="E109" s="9">
        <f t="shared" si="1"/>
        <v>46153</v>
      </c>
      <c r="F109" s="25" t="s">
        <v>15</v>
      </c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</row>
    <row r="110" ht="20.25" customHeight="1">
      <c r="A110" s="23" t="s">
        <v>47</v>
      </c>
      <c r="B110" s="24" t="s">
        <v>16</v>
      </c>
      <c r="C110" s="25">
        <v>2.0</v>
      </c>
      <c r="D110" s="26">
        <v>46092.0</v>
      </c>
      <c r="E110" s="9">
        <f t="shared" si="1"/>
        <v>46153</v>
      </c>
      <c r="F110" s="25" t="s">
        <v>15</v>
      </c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</row>
    <row r="111" ht="20.25" customHeight="1">
      <c r="A111" s="23" t="s">
        <v>47</v>
      </c>
      <c r="B111" s="24" t="s">
        <v>18</v>
      </c>
      <c r="C111" s="25">
        <v>3.0</v>
      </c>
      <c r="D111" s="26">
        <v>46092.0</v>
      </c>
      <c r="E111" s="9">
        <f t="shared" si="1"/>
        <v>46184</v>
      </c>
      <c r="F111" s="25" t="s">
        <v>15</v>
      </c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</row>
    <row r="112" ht="20.25" customHeight="1">
      <c r="A112" s="23" t="s">
        <v>48</v>
      </c>
      <c r="B112" s="24" t="s">
        <v>14</v>
      </c>
      <c r="C112" s="25">
        <v>1.0</v>
      </c>
      <c r="D112" s="26">
        <v>46134.0</v>
      </c>
      <c r="E112" s="9">
        <f t="shared" si="1"/>
        <v>46164</v>
      </c>
      <c r="F112" s="25" t="s">
        <v>49</v>
      </c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</row>
    <row r="113" ht="20.25" customHeight="1">
      <c r="A113" s="23" t="s">
        <v>48</v>
      </c>
      <c r="B113" s="24" t="s">
        <v>50</v>
      </c>
      <c r="C113" s="25">
        <v>1.0</v>
      </c>
      <c r="D113" s="26">
        <v>46134.0</v>
      </c>
      <c r="E113" s="9">
        <f t="shared" si="1"/>
        <v>46164</v>
      </c>
      <c r="F113" s="25" t="s">
        <v>49</v>
      </c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</row>
    <row r="114" ht="20.25" customHeight="1">
      <c r="A114" s="23" t="s">
        <v>51</v>
      </c>
      <c r="B114" s="24" t="s">
        <v>14</v>
      </c>
      <c r="C114" s="25">
        <v>1.0</v>
      </c>
      <c r="D114" s="26">
        <v>46080.0</v>
      </c>
      <c r="E114" s="9">
        <f t="shared" si="1"/>
        <v>46108</v>
      </c>
      <c r="F114" s="25" t="s">
        <v>52</v>
      </c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</row>
    <row r="115" ht="20.25" customHeight="1">
      <c r="A115" s="23" t="s">
        <v>53</v>
      </c>
      <c r="B115" s="24" t="s">
        <v>14</v>
      </c>
      <c r="C115" s="25">
        <v>1.0</v>
      </c>
      <c r="D115" s="26">
        <v>46134.0</v>
      </c>
      <c r="E115" s="9">
        <f t="shared" si="1"/>
        <v>46164</v>
      </c>
      <c r="F115" s="25" t="s">
        <v>54</v>
      </c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</row>
    <row r="116" ht="20.25" customHeight="1">
      <c r="A116" s="23" t="s">
        <v>53</v>
      </c>
      <c r="B116" s="24" t="s">
        <v>55</v>
      </c>
      <c r="C116" s="25">
        <v>2.0</v>
      </c>
      <c r="D116" s="26">
        <v>46134.0</v>
      </c>
      <c r="E116" s="9">
        <f t="shared" si="1"/>
        <v>46195</v>
      </c>
      <c r="F116" s="25" t="s">
        <v>54</v>
      </c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</row>
    <row r="117" ht="20.25" customHeight="1">
      <c r="A117" s="23" t="s">
        <v>53</v>
      </c>
      <c r="B117" s="24" t="s">
        <v>56</v>
      </c>
      <c r="C117" s="25">
        <v>6.0</v>
      </c>
      <c r="D117" s="26">
        <v>45996.0</v>
      </c>
      <c r="E117" s="9">
        <f t="shared" si="1"/>
        <v>46178</v>
      </c>
      <c r="F117" s="25" t="s">
        <v>54</v>
      </c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</row>
    <row r="118" ht="20.25" customHeight="1">
      <c r="A118" s="23" t="s">
        <v>57</v>
      </c>
      <c r="B118" s="24" t="s">
        <v>14</v>
      </c>
      <c r="C118" s="25">
        <v>6.0</v>
      </c>
      <c r="D118" s="26"/>
      <c r="E118" s="9" t="str">
        <f t="shared" si="1"/>
        <v/>
      </c>
      <c r="F118" s="25" t="s">
        <v>52</v>
      </c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</row>
    <row r="119" ht="20.25" customHeight="1">
      <c r="A119" s="23" t="s">
        <v>58</v>
      </c>
      <c r="B119" s="24" t="s">
        <v>14</v>
      </c>
      <c r="C119" s="25">
        <v>1.0</v>
      </c>
      <c r="D119" s="26"/>
      <c r="E119" s="9" t="str">
        <f t="shared" si="1"/>
        <v/>
      </c>
      <c r="F119" s="25" t="s">
        <v>52</v>
      </c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</row>
    <row r="120" ht="20.25" customHeight="1">
      <c r="A120" s="23" t="s">
        <v>59</v>
      </c>
      <c r="B120" s="24" t="s">
        <v>14</v>
      </c>
      <c r="C120" s="25">
        <v>1.0</v>
      </c>
      <c r="D120" s="26">
        <v>46080.0</v>
      </c>
      <c r="E120" s="9">
        <f t="shared" si="1"/>
        <v>46108</v>
      </c>
      <c r="F120" s="25" t="s">
        <v>52</v>
      </c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</row>
    <row r="121" ht="20.25" customHeight="1">
      <c r="A121" s="23" t="s">
        <v>60</v>
      </c>
      <c r="B121" s="24" t="s">
        <v>14</v>
      </c>
      <c r="C121" s="25">
        <v>4.0</v>
      </c>
      <c r="D121" s="26">
        <v>46093.0</v>
      </c>
      <c r="E121" s="9">
        <f t="shared" si="1"/>
        <v>46215</v>
      </c>
      <c r="F121" s="25" t="s">
        <v>52</v>
      </c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</row>
    <row r="122" ht="20.25" customHeight="1">
      <c r="A122" s="23" t="s">
        <v>61</v>
      </c>
      <c r="B122" s="24" t="s">
        <v>14</v>
      </c>
      <c r="C122" s="25">
        <v>0.5</v>
      </c>
      <c r="D122" s="26">
        <v>46136.0</v>
      </c>
      <c r="E122" s="9">
        <f t="shared" si="1"/>
        <v>46151</v>
      </c>
      <c r="F122" s="25" t="s">
        <v>62</v>
      </c>
      <c r="G122" s="27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</row>
    <row r="123" ht="20.25" customHeight="1">
      <c r="A123" s="23" t="s">
        <v>63</v>
      </c>
      <c r="B123" s="24" t="s">
        <v>14</v>
      </c>
      <c r="C123" s="25">
        <v>1.0</v>
      </c>
      <c r="D123" s="26"/>
      <c r="E123" s="9" t="str">
        <f t="shared" si="1"/>
        <v/>
      </c>
      <c r="F123" s="25" t="s">
        <v>52</v>
      </c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</row>
    <row r="124" ht="20.25" customHeight="1">
      <c r="A124" s="23" t="s">
        <v>64</v>
      </c>
      <c r="B124" s="24" t="s">
        <v>14</v>
      </c>
      <c r="C124" s="25">
        <v>1.0</v>
      </c>
      <c r="D124" s="26">
        <v>46153.0</v>
      </c>
      <c r="E124" s="9">
        <f t="shared" si="1"/>
        <v>46184</v>
      </c>
      <c r="F124" s="25" t="s">
        <v>52</v>
      </c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</row>
    <row r="125" ht="20.25" customHeight="1">
      <c r="A125" s="23" t="s">
        <v>65</v>
      </c>
      <c r="B125" s="24" t="s">
        <v>14</v>
      </c>
      <c r="C125" s="25">
        <v>2.0</v>
      </c>
      <c r="D125" s="26">
        <v>46080.0</v>
      </c>
      <c r="E125" s="9">
        <f t="shared" si="1"/>
        <v>46139</v>
      </c>
      <c r="F125" s="25" t="s">
        <v>52</v>
      </c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</row>
    <row r="126" ht="20.25" customHeight="1">
      <c r="A126" s="23"/>
      <c r="B126" s="24"/>
      <c r="C126" s="25"/>
      <c r="D126" s="26"/>
      <c r="E126" s="26"/>
      <c r="F126" s="25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</row>
    <row r="127" ht="20.25" customHeight="1">
      <c r="A127" s="23"/>
      <c r="B127" s="24"/>
      <c r="C127" s="25"/>
      <c r="D127" s="26"/>
      <c r="E127" s="26"/>
      <c r="F127" s="25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</row>
    <row r="128" ht="20.25" customHeight="1">
      <c r="A128" s="23"/>
      <c r="B128" s="24"/>
      <c r="C128" s="25"/>
      <c r="D128" s="26"/>
      <c r="E128" s="26"/>
      <c r="F128" s="25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</row>
    <row r="129" ht="20.25" customHeight="1">
      <c r="A129" s="23"/>
      <c r="B129" s="24"/>
      <c r="C129" s="25"/>
      <c r="D129" s="26"/>
      <c r="E129" s="26"/>
      <c r="F129" s="25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</row>
    <row r="130" ht="20.25" customHeight="1">
      <c r="A130" s="23"/>
      <c r="B130" s="24"/>
      <c r="C130" s="25"/>
      <c r="D130" s="26"/>
      <c r="E130" s="26"/>
      <c r="F130" s="25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</row>
    <row r="131" ht="20.25" customHeight="1">
      <c r="A131" s="23"/>
      <c r="B131" s="24"/>
      <c r="C131" s="25"/>
      <c r="D131" s="26"/>
      <c r="E131" s="26"/>
      <c r="F131" s="25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</row>
    <row r="132" ht="20.25" customHeight="1">
      <c r="A132" s="23"/>
      <c r="B132" s="24"/>
      <c r="C132" s="25"/>
      <c r="D132" s="26"/>
      <c r="E132" s="26"/>
      <c r="F132" s="25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</row>
    <row r="133" ht="20.25" customHeight="1">
      <c r="A133" s="23"/>
      <c r="B133" s="24"/>
      <c r="C133" s="25"/>
      <c r="D133" s="26"/>
      <c r="E133" s="26"/>
      <c r="F133" s="25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</row>
    <row r="134" ht="20.25" customHeight="1">
      <c r="A134" s="23"/>
      <c r="B134" s="24"/>
      <c r="C134" s="25"/>
      <c r="D134" s="26"/>
      <c r="E134" s="26"/>
      <c r="F134" s="25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</row>
    <row r="135" ht="20.25" customHeight="1">
      <c r="A135" s="23"/>
      <c r="B135" s="24"/>
      <c r="C135" s="25"/>
      <c r="D135" s="26"/>
      <c r="E135" s="26"/>
      <c r="F135" s="25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</row>
    <row r="136" ht="20.25" customHeight="1">
      <c r="A136" s="23"/>
      <c r="B136" s="24"/>
      <c r="C136" s="25"/>
      <c r="D136" s="26"/>
      <c r="E136" s="26"/>
      <c r="F136" s="25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</row>
    <row r="137" ht="20.25" customHeight="1">
      <c r="A137" s="23"/>
      <c r="B137" s="24"/>
      <c r="C137" s="25"/>
      <c r="D137" s="26"/>
      <c r="E137" s="26"/>
      <c r="F137" s="25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</row>
    <row r="138" ht="20.25" customHeight="1">
      <c r="A138" s="23"/>
      <c r="B138" s="24"/>
      <c r="C138" s="25"/>
      <c r="D138" s="26"/>
      <c r="E138" s="26"/>
      <c r="F138" s="25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</row>
    <row r="139" ht="20.25" customHeight="1">
      <c r="A139" s="23"/>
      <c r="B139" s="24"/>
      <c r="C139" s="25"/>
      <c r="D139" s="26"/>
      <c r="E139" s="26"/>
      <c r="F139" s="25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</row>
    <row r="140">
      <c r="B140" s="28"/>
      <c r="C140" s="29"/>
      <c r="D140" s="30"/>
      <c r="E140" s="30"/>
      <c r="F140" s="8"/>
    </row>
    <row r="141">
      <c r="B141" s="28"/>
      <c r="C141" s="29"/>
      <c r="D141" s="30"/>
      <c r="E141" s="30"/>
      <c r="F141" s="8"/>
    </row>
    <row r="142">
      <c r="B142" s="28"/>
      <c r="C142" s="29"/>
      <c r="D142" s="30"/>
      <c r="E142" s="30"/>
      <c r="F142" s="8"/>
    </row>
    <row r="143">
      <c r="B143" s="28"/>
      <c r="C143" s="29"/>
      <c r="D143" s="30"/>
      <c r="E143" s="30"/>
      <c r="F143" s="8"/>
    </row>
    <row r="144">
      <c r="B144" s="28"/>
      <c r="C144" s="29"/>
      <c r="D144" s="30"/>
      <c r="E144" s="30"/>
      <c r="F144" s="8"/>
    </row>
    <row r="145">
      <c r="B145" s="28"/>
      <c r="C145" s="29"/>
      <c r="D145" s="30"/>
      <c r="E145" s="30"/>
      <c r="F145" s="8"/>
    </row>
    <row r="146">
      <c r="B146" s="28"/>
      <c r="C146" s="29"/>
      <c r="D146" s="30"/>
      <c r="E146" s="30"/>
      <c r="F146" s="8"/>
    </row>
    <row r="147">
      <c r="B147" s="28"/>
      <c r="C147" s="29"/>
      <c r="D147" s="30"/>
      <c r="E147" s="30"/>
      <c r="F147" s="8"/>
    </row>
    <row r="148">
      <c r="B148" s="28"/>
      <c r="C148" s="29"/>
      <c r="D148" s="30"/>
      <c r="E148" s="30"/>
      <c r="F148" s="8"/>
    </row>
    <row r="149">
      <c r="B149" s="28"/>
      <c r="C149" s="29"/>
      <c r="D149" s="30"/>
      <c r="E149" s="30"/>
      <c r="F149" s="8"/>
    </row>
    <row r="150">
      <c r="B150" s="28"/>
      <c r="C150" s="29"/>
      <c r="D150" s="30"/>
      <c r="E150" s="30"/>
      <c r="F150" s="8"/>
    </row>
    <row r="151">
      <c r="B151" s="28"/>
      <c r="C151" s="29"/>
      <c r="D151" s="30"/>
      <c r="E151" s="30"/>
      <c r="F151" s="8"/>
    </row>
    <row r="152">
      <c r="B152" s="28"/>
      <c r="C152" s="29"/>
      <c r="D152" s="30"/>
      <c r="E152" s="30"/>
      <c r="F152" s="8"/>
    </row>
    <row r="153">
      <c r="B153" s="28"/>
      <c r="C153" s="29"/>
      <c r="D153" s="30"/>
      <c r="E153" s="30"/>
      <c r="F153" s="8"/>
    </row>
    <row r="154">
      <c r="B154" s="28"/>
      <c r="C154" s="29"/>
      <c r="D154" s="30"/>
      <c r="E154" s="30"/>
      <c r="F154" s="8"/>
    </row>
    <row r="155">
      <c r="B155" s="28"/>
      <c r="C155" s="29"/>
      <c r="D155" s="30"/>
      <c r="E155" s="30"/>
      <c r="F155" s="8"/>
    </row>
    <row r="156">
      <c r="B156" s="28"/>
      <c r="C156" s="29"/>
      <c r="D156" s="30"/>
      <c r="E156" s="30"/>
      <c r="F156" s="8"/>
    </row>
    <row r="157">
      <c r="B157" s="28"/>
      <c r="C157" s="29"/>
      <c r="D157" s="30"/>
      <c r="E157" s="30"/>
      <c r="F157" s="8"/>
    </row>
    <row r="158">
      <c r="B158" s="28"/>
      <c r="C158" s="29"/>
      <c r="D158" s="30"/>
      <c r="E158" s="30"/>
      <c r="F158" s="8"/>
    </row>
    <row r="159">
      <c r="B159" s="28"/>
      <c r="C159" s="29"/>
      <c r="D159" s="30"/>
      <c r="E159" s="30"/>
      <c r="F159" s="8"/>
    </row>
    <row r="160">
      <c r="B160" s="28"/>
      <c r="C160" s="29"/>
      <c r="D160" s="30"/>
      <c r="E160" s="30"/>
      <c r="F160" s="8"/>
    </row>
    <row r="161">
      <c r="B161" s="28"/>
      <c r="C161" s="29"/>
      <c r="D161" s="30"/>
      <c r="E161" s="30"/>
      <c r="F161" s="8"/>
    </row>
    <row r="162">
      <c r="B162" s="28"/>
      <c r="C162" s="29"/>
      <c r="D162" s="30"/>
      <c r="E162" s="30"/>
      <c r="F162" s="8"/>
    </row>
    <row r="163">
      <c r="B163" s="28"/>
      <c r="C163" s="29"/>
      <c r="D163" s="30"/>
      <c r="E163" s="30"/>
      <c r="F163" s="8"/>
    </row>
    <row r="164">
      <c r="B164" s="28"/>
      <c r="C164" s="29"/>
      <c r="D164" s="30"/>
      <c r="E164" s="30"/>
      <c r="F164" s="8"/>
    </row>
    <row r="165">
      <c r="B165" s="28"/>
      <c r="C165" s="29"/>
      <c r="D165" s="30"/>
      <c r="E165" s="30"/>
      <c r="F165" s="8"/>
    </row>
    <row r="166">
      <c r="B166" s="28"/>
      <c r="C166" s="29"/>
      <c r="D166" s="30"/>
      <c r="E166" s="30"/>
      <c r="F166" s="8"/>
    </row>
    <row r="167">
      <c r="B167" s="28"/>
      <c r="C167" s="29"/>
      <c r="D167" s="30"/>
      <c r="E167" s="30"/>
      <c r="F167" s="8"/>
    </row>
    <row r="168">
      <c r="B168" s="28"/>
      <c r="C168" s="29"/>
      <c r="D168" s="30"/>
      <c r="E168" s="30"/>
      <c r="F168" s="8"/>
    </row>
    <row r="169">
      <c r="B169" s="28"/>
      <c r="C169" s="29"/>
      <c r="D169" s="30"/>
      <c r="E169" s="30"/>
      <c r="F169" s="8"/>
    </row>
    <row r="170">
      <c r="B170" s="28"/>
      <c r="C170" s="29"/>
      <c r="D170" s="30"/>
      <c r="E170" s="30"/>
      <c r="F170" s="8"/>
    </row>
    <row r="171">
      <c r="B171" s="28"/>
      <c r="C171" s="29"/>
      <c r="D171" s="30"/>
      <c r="E171" s="30"/>
      <c r="F171" s="8"/>
    </row>
    <row r="172">
      <c r="B172" s="28"/>
      <c r="C172" s="29"/>
      <c r="D172" s="30"/>
      <c r="E172" s="30"/>
      <c r="F172" s="8"/>
    </row>
    <row r="173">
      <c r="B173" s="28"/>
      <c r="C173" s="29"/>
      <c r="D173" s="30"/>
      <c r="E173" s="30"/>
      <c r="F173" s="8"/>
    </row>
    <row r="174">
      <c r="B174" s="28"/>
      <c r="C174" s="29"/>
      <c r="D174" s="30"/>
      <c r="E174" s="30"/>
      <c r="F174" s="8"/>
    </row>
    <row r="175">
      <c r="B175" s="28"/>
      <c r="C175" s="29"/>
      <c r="D175" s="30"/>
      <c r="E175" s="30"/>
      <c r="F175" s="8"/>
    </row>
    <row r="176">
      <c r="B176" s="28"/>
      <c r="C176" s="29"/>
      <c r="D176" s="30"/>
      <c r="E176" s="30"/>
      <c r="F176" s="8"/>
    </row>
    <row r="177">
      <c r="B177" s="28"/>
      <c r="C177" s="29"/>
      <c r="D177" s="30"/>
      <c r="E177" s="30"/>
      <c r="F177" s="8"/>
    </row>
    <row r="178">
      <c r="B178" s="28"/>
      <c r="C178" s="29"/>
      <c r="D178" s="30"/>
      <c r="E178" s="30"/>
      <c r="F178" s="8"/>
    </row>
    <row r="179">
      <c r="B179" s="28"/>
      <c r="C179" s="29"/>
      <c r="D179" s="30"/>
      <c r="E179" s="30"/>
      <c r="F179" s="8"/>
    </row>
    <row r="180">
      <c r="B180" s="28"/>
      <c r="C180" s="29"/>
      <c r="D180" s="30"/>
      <c r="E180" s="30"/>
      <c r="F180" s="8"/>
    </row>
    <row r="181">
      <c r="B181" s="28"/>
      <c r="C181" s="29"/>
      <c r="D181" s="30"/>
      <c r="E181" s="30"/>
      <c r="F181" s="8"/>
    </row>
    <row r="182">
      <c r="B182" s="28"/>
      <c r="C182" s="29"/>
      <c r="D182" s="30"/>
      <c r="E182" s="30"/>
      <c r="F182" s="8"/>
    </row>
    <row r="183">
      <c r="B183" s="28"/>
      <c r="C183" s="29"/>
      <c r="D183" s="30"/>
      <c r="E183" s="30"/>
      <c r="F183" s="8"/>
    </row>
    <row r="184">
      <c r="B184" s="28"/>
      <c r="C184" s="29"/>
      <c r="D184" s="30"/>
      <c r="E184" s="30"/>
      <c r="F184" s="8"/>
    </row>
    <row r="185">
      <c r="B185" s="28"/>
      <c r="C185" s="29"/>
      <c r="D185" s="30"/>
      <c r="E185" s="30"/>
      <c r="F185" s="8"/>
    </row>
    <row r="186">
      <c r="B186" s="28"/>
      <c r="C186" s="29"/>
      <c r="D186" s="30"/>
      <c r="E186" s="30"/>
      <c r="F186" s="8"/>
    </row>
    <row r="187">
      <c r="B187" s="28"/>
      <c r="C187" s="29"/>
      <c r="D187" s="30"/>
      <c r="E187" s="30"/>
      <c r="F187" s="8"/>
    </row>
    <row r="188">
      <c r="B188" s="28"/>
      <c r="C188" s="29"/>
      <c r="D188" s="30"/>
      <c r="E188" s="30"/>
      <c r="F188" s="8"/>
    </row>
    <row r="189">
      <c r="B189" s="28"/>
      <c r="C189" s="29"/>
      <c r="D189" s="30"/>
      <c r="E189" s="30"/>
      <c r="F189" s="8"/>
    </row>
    <row r="190">
      <c r="B190" s="28"/>
      <c r="C190" s="29"/>
      <c r="D190" s="30"/>
      <c r="E190" s="30"/>
      <c r="F190" s="8"/>
    </row>
    <row r="191">
      <c r="B191" s="28"/>
      <c r="C191" s="29"/>
      <c r="D191" s="30"/>
      <c r="E191" s="30"/>
      <c r="F191" s="8"/>
    </row>
    <row r="192">
      <c r="B192" s="28"/>
      <c r="C192" s="29"/>
      <c r="D192" s="30"/>
      <c r="E192" s="30"/>
      <c r="F192" s="8"/>
    </row>
    <row r="193">
      <c r="B193" s="28"/>
      <c r="C193" s="29"/>
      <c r="D193" s="30"/>
      <c r="E193" s="30"/>
      <c r="F193" s="8"/>
    </row>
    <row r="194">
      <c r="B194" s="28"/>
      <c r="C194" s="29"/>
      <c r="D194" s="30"/>
      <c r="E194" s="30"/>
      <c r="F194" s="8"/>
    </row>
    <row r="195">
      <c r="B195" s="28"/>
      <c r="C195" s="29"/>
      <c r="D195" s="30"/>
      <c r="E195" s="30"/>
      <c r="F195" s="8"/>
    </row>
    <row r="196">
      <c r="B196" s="28"/>
      <c r="C196" s="29"/>
      <c r="D196" s="30"/>
      <c r="E196" s="30"/>
      <c r="F196" s="8"/>
    </row>
    <row r="197">
      <c r="B197" s="28"/>
      <c r="C197" s="29"/>
      <c r="D197" s="30"/>
      <c r="E197" s="30"/>
      <c r="F197" s="8"/>
    </row>
    <row r="198">
      <c r="B198" s="28"/>
      <c r="C198" s="29"/>
      <c r="D198" s="30"/>
      <c r="E198" s="30"/>
      <c r="F198" s="8"/>
    </row>
    <row r="199">
      <c r="B199" s="28"/>
      <c r="C199" s="29"/>
      <c r="D199" s="30"/>
      <c r="E199" s="30"/>
      <c r="F199" s="8"/>
    </row>
    <row r="200">
      <c r="B200" s="28"/>
      <c r="C200" s="29"/>
      <c r="D200" s="30"/>
      <c r="E200" s="30"/>
      <c r="F200" s="8"/>
    </row>
    <row r="201">
      <c r="B201" s="28"/>
      <c r="C201" s="29"/>
      <c r="D201" s="30"/>
      <c r="E201" s="30"/>
      <c r="F201" s="8"/>
    </row>
    <row r="202">
      <c r="B202" s="28"/>
      <c r="C202" s="29"/>
      <c r="D202" s="30"/>
      <c r="E202" s="30"/>
      <c r="F202" s="8"/>
    </row>
    <row r="203">
      <c r="B203" s="28"/>
      <c r="C203" s="29"/>
      <c r="D203" s="30"/>
      <c r="E203" s="30"/>
      <c r="F203" s="8"/>
    </row>
    <row r="204">
      <c r="B204" s="28"/>
      <c r="C204" s="29"/>
      <c r="D204" s="30"/>
      <c r="E204" s="30"/>
      <c r="F204" s="8"/>
    </row>
    <row r="205">
      <c r="B205" s="28"/>
      <c r="C205" s="29"/>
      <c r="D205" s="30"/>
      <c r="E205" s="30"/>
      <c r="F205" s="8"/>
    </row>
    <row r="206">
      <c r="B206" s="28"/>
      <c r="C206" s="29"/>
      <c r="D206" s="30"/>
      <c r="E206" s="30"/>
      <c r="F206" s="8"/>
    </row>
    <row r="207">
      <c r="B207" s="28"/>
      <c r="C207" s="29"/>
      <c r="D207" s="30"/>
      <c r="E207" s="30"/>
      <c r="F207" s="8"/>
    </row>
    <row r="208">
      <c r="B208" s="28"/>
      <c r="C208" s="29"/>
      <c r="D208" s="30"/>
      <c r="E208" s="30"/>
      <c r="F208" s="8"/>
    </row>
    <row r="209">
      <c r="B209" s="28"/>
      <c r="C209" s="29"/>
      <c r="D209" s="30"/>
      <c r="E209" s="30"/>
      <c r="F209" s="8"/>
    </row>
    <row r="210">
      <c r="B210" s="28"/>
      <c r="C210" s="29"/>
      <c r="D210" s="30"/>
      <c r="E210" s="30"/>
      <c r="F210" s="8"/>
    </row>
    <row r="211">
      <c r="B211" s="28"/>
      <c r="C211" s="29"/>
      <c r="D211" s="30"/>
      <c r="E211" s="30"/>
      <c r="F211" s="8"/>
    </row>
    <row r="212">
      <c r="B212" s="28"/>
      <c r="C212" s="29"/>
      <c r="D212" s="30"/>
      <c r="E212" s="30"/>
      <c r="F212" s="8"/>
    </row>
    <row r="213">
      <c r="B213" s="28"/>
      <c r="C213" s="29"/>
      <c r="D213" s="30"/>
      <c r="E213" s="30"/>
      <c r="F213" s="8"/>
    </row>
    <row r="214">
      <c r="B214" s="28"/>
      <c r="C214" s="29"/>
      <c r="D214" s="30"/>
      <c r="E214" s="30"/>
      <c r="F214" s="8"/>
    </row>
    <row r="215">
      <c r="B215" s="28"/>
      <c r="C215" s="29"/>
      <c r="D215" s="30"/>
      <c r="E215" s="30"/>
      <c r="F215" s="8"/>
    </row>
    <row r="216">
      <c r="B216" s="28"/>
      <c r="C216" s="29"/>
      <c r="D216" s="30"/>
      <c r="E216" s="30"/>
      <c r="F216" s="8"/>
    </row>
    <row r="217">
      <c r="B217" s="28"/>
      <c r="C217" s="29"/>
      <c r="D217" s="30"/>
      <c r="E217" s="30"/>
      <c r="F217" s="8"/>
    </row>
    <row r="218">
      <c r="B218" s="28"/>
      <c r="C218" s="29"/>
      <c r="D218" s="30"/>
      <c r="E218" s="30"/>
      <c r="F218" s="8"/>
    </row>
    <row r="219">
      <c r="B219" s="28"/>
      <c r="C219" s="29"/>
      <c r="D219" s="30"/>
      <c r="E219" s="30"/>
      <c r="F219" s="8"/>
    </row>
    <row r="220">
      <c r="B220" s="28"/>
      <c r="C220" s="29"/>
      <c r="D220" s="30"/>
      <c r="E220" s="30"/>
      <c r="F220" s="8"/>
    </row>
    <row r="221">
      <c r="B221" s="28"/>
      <c r="C221" s="29"/>
      <c r="D221" s="30"/>
      <c r="E221" s="30"/>
      <c r="F221" s="8"/>
    </row>
    <row r="222">
      <c r="B222" s="28"/>
      <c r="C222" s="29"/>
      <c r="D222" s="30"/>
      <c r="E222" s="30"/>
      <c r="F222" s="8"/>
    </row>
    <row r="223">
      <c r="B223" s="28"/>
      <c r="C223" s="29"/>
      <c r="D223" s="30"/>
      <c r="E223" s="30"/>
      <c r="F223" s="8"/>
    </row>
    <row r="224">
      <c r="B224" s="28"/>
      <c r="C224" s="29"/>
      <c r="D224" s="30"/>
      <c r="E224" s="30"/>
      <c r="F224" s="8"/>
    </row>
    <row r="225">
      <c r="B225" s="28"/>
      <c r="C225" s="29"/>
      <c r="D225" s="30"/>
      <c r="E225" s="30"/>
      <c r="F225" s="8"/>
    </row>
    <row r="226">
      <c r="B226" s="28"/>
      <c r="C226" s="29"/>
      <c r="D226" s="30"/>
      <c r="E226" s="30"/>
      <c r="F226" s="8"/>
    </row>
    <row r="227">
      <c r="B227" s="28"/>
      <c r="C227" s="29"/>
      <c r="D227" s="30"/>
      <c r="E227" s="30"/>
      <c r="F227" s="8"/>
    </row>
    <row r="228">
      <c r="B228" s="28"/>
      <c r="C228" s="29"/>
      <c r="D228" s="30"/>
      <c r="E228" s="30"/>
      <c r="F228" s="8"/>
    </row>
    <row r="229">
      <c r="B229" s="28"/>
      <c r="C229" s="29"/>
      <c r="D229" s="30"/>
      <c r="E229" s="30"/>
      <c r="F229" s="8"/>
    </row>
    <row r="230">
      <c r="B230" s="28"/>
      <c r="C230" s="29"/>
      <c r="D230" s="30"/>
      <c r="E230" s="30"/>
      <c r="F230" s="8"/>
    </row>
    <row r="231">
      <c r="B231" s="28"/>
      <c r="C231" s="29"/>
      <c r="D231" s="30"/>
      <c r="E231" s="30"/>
      <c r="F231" s="8"/>
    </row>
    <row r="232">
      <c r="B232" s="28"/>
      <c r="C232" s="29"/>
      <c r="D232" s="30"/>
      <c r="E232" s="30"/>
      <c r="F232" s="8"/>
    </row>
    <row r="233">
      <c r="B233" s="28"/>
      <c r="C233" s="29"/>
      <c r="D233" s="30"/>
      <c r="E233" s="30"/>
      <c r="F233" s="8"/>
    </row>
    <row r="234">
      <c r="B234" s="28"/>
      <c r="C234" s="29"/>
      <c r="D234" s="30"/>
      <c r="E234" s="30"/>
      <c r="F234" s="8"/>
    </row>
    <row r="235">
      <c r="B235" s="28"/>
      <c r="C235" s="29"/>
      <c r="D235" s="30"/>
      <c r="E235" s="30"/>
      <c r="F235" s="8"/>
    </row>
    <row r="236">
      <c r="B236" s="28"/>
      <c r="C236" s="29"/>
      <c r="D236" s="30"/>
      <c r="E236" s="30"/>
      <c r="F236" s="8"/>
    </row>
    <row r="237">
      <c r="B237" s="28"/>
      <c r="C237" s="29"/>
      <c r="D237" s="30"/>
      <c r="E237" s="30"/>
      <c r="F237" s="8"/>
    </row>
    <row r="238">
      <c r="B238" s="28"/>
      <c r="C238" s="29"/>
      <c r="D238" s="30"/>
      <c r="E238" s="30"/>
      <c r="F238" s="8"/>
    </row>
    <row r="239">
      <c r="B239" s="28"/>
      <c r="C239" s="29"/>
      <c r="D239" s="30"/>
      <c r="E239" s="30"/>
      <c r="F239" s="8"/>
    </row>
    <row r="240">
      <c r="B240" s="28"/>
      <c r="C240" s="29"/>
      <c r="D240" s="30"/>
      <c r="E240" s="30"/>
      <c r="F240" s="8"/>
    </row>
    <row r="241">
      <c r="B241" s="28"/>
      <c r="C241" s="29"/>
      <c r="D241" s="30"/>
      <c r="E241" s="30"/>
      <c r="F241" s="8"/>
    </row>
    <row r="242">
      <c r="B242" s="28"/>
      <c r="C242" s="29"/>
      <c r="D242" s="30"/>
      <c r="E242" s="30"/>
      <c r="F242" s="8"/>
    </row>
    <row r="243">
      <c r="B243" s="28"/>
      <c r="C243" s="29"/>
      <c r="D243" s="30"/>
      <c r="E243" s="30"/>
      <c r="F243" s="8"/>
    </row>
    <row r="244">
      <c r="B244" s="28"/>
      <c r="C244" s="29"/>
      <c r="D244" s="30"/>
      <c r="E244" s="30"/>
      <c r="F244" s="8"/>
    </row>
    <row r="245">
      <c r="B245" s="28"/>
      <c r="C245" s="29"/>
      <c r="D245" s="30"/>
      <c r="E245" s="30"/>
      <c r="F245" s="8"/>
    </row>
    <row r="246">
      <c r="B246" s="28"/>
      <c r="C246" s="29"/>
      <c r="D246" s="30"/>
      <c r="E246" s="30"/>
      <c r="F246" s="8"/>
    </row>
    <row r="247">
      <c r="B247" s="28"/>
      <c r="C247" s="29"/>
      <c r="D247" s="30"/>
      <c r="E247" s="30"/>
      <c r="F247" s="8"/>
    </row>
    <row r="248">
      <c r="B248" s="28"/>
      <c r="C248" s="29"/>
      <c r="D248" s="30"/>
      <c r="E248" s="30"/>
      <c r="F248" s="8"/>
    </row>
    <row r="249">
      <c r="B249" s="28"/>
      <c r="C249" s="29"/>
      <c r="D249" s="30"/>
      <c r="E249" s="30"/>
      <c r="F249" s="8"/>
    </row>
    <row r="250">
      <c r="B250" s="28"/>
      <c r="C250" s="29"/>
      <c r="D250" s="30"/>
      <c r="E250" s="30"/>
      <c r="F250" s="8"/>
    </row>
    <row r="251">
      <c r="B251" s="28"/>
      <c r="C251" s="29"/>
      <c r="D251" s="30"/>
      <c r="E251" s="30"/>
      <c r="F251" s="8"/>
    </row>
    <row r="252">
      <c r="B252" s="28"/>
      <c r="C252" s="29"/>
      <c r="D252" s="30"/>
      <c r="E252" s="30"/>
      <c r="F252" s="8"/>
    </row>
    <row r="253">
      <c r="B253" s="28"/>
      <c r="C253" s="29"/>
      <c r="D253" s="30"/>
      <c r="E253" s="30"/>
      <c r="F253" s="8"/>
    </row>
    <row r="254">
      <c r="B254" s="28"/>
      <c r="C254" s="29"/>
      <c r="D254" s="30"/>
      <c r="E254" s="30"/>
      <c r="F254" s="8"/>
    </row>
    <row r="255">
      <c r="B255" s="28"/>
      <c r="C255" s="29"/>
      <c r="D255" s="30"/>
      <c r="E255" s="30"/>
      <c r="F255" s="8"/>
    </row>
    <row r="256">
      <c r="B256" s="28"/>
      <c r="C256" s="29"/>
      <c r="D256" s="30"/>
      <c r="E256" s="30"/>
      <c r="F256" s="8"/>
    </row>
    <row r="257">
      <c r="B257" s="28"/>
      <c r="C257" s="29"/>
      <c r="D257" s="30"/>
      <c r="E257" s="30"/>
      <c r="F257" s="8"/>
    </row>
    <row r="258">
      <c r="B258" s="28"/>
      <c r="C258" s="29"/>
      <c r="D258" s="30"/>
      <c r="E258" s="30"/>
      <c r="F258" s="8"/>
    </row>
    <row r="259">
      <c r="B259" s="28"/>
      <c r="C259" s="29"/>
      <c r="D259" s="30"/>
      <c r="E259" s="30"/>
      <c r="F259" s="8"/>
    </row>
    <row r="260">
      <c r="B260" s="28"/>
      <c r="C260" s="29"/>
      <c r="D260" s="30"/>
      <c r="E260" s="30"/>
      <c r="F260" s="8"/>
    </row>
    <row r="261">
      <c r="B261" s="28"/>
      <c r="C261" s="29"/>
      <c r="D261" s="30"/>
      <c r="E261" s="30"/>
      <c r="F261" s="8"/>
    </row>
    <row r="262">
      <c r="B262" s="28"/>
      <c r="C262" s="29"/>
      <c r="D262" s="30"/>
      <c r="E262" s="30"/>
      <c r="F262" s="8"/>
    </row>
    <row r="263">
      <c r="B263" s="28"/>
      <c r="C263" s="29"/>
      <c r="D263" s="30"/>
      <c r="E263" s="30"/>
      <c r="F263" s="8"/>
    </row>
    <row r="264">
      <c r="B264" s="28"/>
      <c r="C264" s="29"/>
      <c r="D264" s="30"/>
      <c r="E264" s="30"/>
      <c r="F264" s="8"/>
    </row>
    <row r="265">
      <c r="B265" s="28"/>
      <c r="C265" s="29"/>
      <c r="D265" s="30"/>
      <c r="E265" s="30"/>
      <c r="F265" s="8"/>
    </row>
    <row r="266">
      <c r="B266" s="28"/>
      <c r="C266" s="29"/>
      <c r="D266" s="30"/>
      <c r="E266" s="30"/>
      <c r="F266" s="8"/>
    </row>
    <row r="267">
      <c r="B267" s="28"/>
      <c r="C267" s="29"/>
      <c r="D267" s="30"/>
      <c r="E267" s="30"/>
      <c r="F267" s="8"/>
    </row>
    <row r="268">
      <c r="B268" s="28"/>
      <c r="C268" s="29"/>
      <c r="D268" s="30"/>
      <c r="E268" s="30"/>
      <c r="F268" s="8"/>
    </row>
    <row r="269">
      <c r="B269" s="28"/>
      <c r="C269" s="29"/>
      <c r="D269" s="30"/>
      <c r="E269" s="30"/>
      <c r="F269" s="8"/>
    </row>
    <row r="270">
      <c r="B270" s="28"/>
      <c r="C270" s="29"/>
      <c r="D270" s="30"/>
      <c r="E270" s="30"/>
      <c r="F270" s="8"/>
    </row>
    <row r="271">
      <c r="B271" s="28"/>
      <c r="C271" s="29"/>
      <c r="D271" s="30"/>
      <c r="E271" s="30"/>
      <c r="F271" s="8"/>
    </row>
    <row r="272">
      <c r="B272" s="28"/>
      <c r="C272" s="29"/>
      <c r="D272" s="30"/>
      <c r="E272" s="30"/>
      <c r="F272" s="8"/>
    </row>
    <row r="273">
      <c r="B273" s="28"/>
      <c r="C273" s="29"/>
      <c r="D273" s="30"/>
      <c r="E273" s="30"/>
      <c r="F273" s="8"/>
    </row>
    <row r="274">
      <c r="B274" s="28"/>
      <c r="C274" s="29"/>
      <c r="D274" s="30"/>
      <c r="E274" s="30"/>
      <c r="F274" s="8"/>
    </row>
    <row r="275">
      <c r="B275" s="28"/>
      <c r="C275" s="29"/>
      <c r="D275" s="30"/>
      <c r="E275" s="30"/>
      <c r="F275" s="8"/>
    </row>
    <row r="276">
      <c r="B276" s="28"/>
      <c r="C276" s="29"/>
      <c r="D276" s="30"/>
      <c r="E276" s="30"/>
      <c r="F276" s="8"/>
    </row>
    <row r="277">
      <c r="B277" s="28"/>
      <c r="C277" s="29"/>
      <c r="D277" s="30"/>
      <c r="E277" s="30"/>
      <c r="F277" s="8"/>
    </row>
    <row r="278">
      <c r="B278" s="28"/>
      <c r="C278" s="29"/>
      <c r="D278" s="30"/>
      <c r="E278" s="30"/>
      <c r="F278" s="8"/>
    </row>
    <row r="279">
      <c r="B279" s="28"/>
      <c r="C279" s="29"/>
      <c r="D279" s="30"/>
      <c r="E279" s="30"/>
      <c r="F279" s="8"/>
    </row>
    <row r="280">
      <c r="B280" s="28"/>
      <c r="C280" s="29"/>
      <c r="D280" s="30"/>
      <c r="E280" s="30"/>
      <c r="F280" s="8"/>
    </row>
    <row r="281">
      <c r="B281" s="28"/>
      <c r="C281" s="29"/>
      <c r="D281" s="30"/>
      <c r="E281" s="30"/>
      <c r="F281" s="8"/>
    </row>
    <row r="282">
      <c r="B282" s="28"/>
      <c r="C282" s="29"/>
      <c r="D282" s="30"/>
      <c r="E282" s="30"/>
      <c r="F282" s="8"/>
    </row>
    <row r="283">
      <c r="B283" s="28"/>
      <c r="C283" s="29"/>
      <c r="D283" s="30"/>
      <c r="E283" s="30"/>
      <c r="F283" s="8"/>
    </row>
    <row r="284">
      <c r="B284" s="28"/>
      <c r="C284" s="29"/>
      <c r="D284" s="30"/>
      <c r="E284" s="30"/>
      <c r="F284" s="8"/>
    </row>
    <row r="285">
      <c r="B285" s="28"/>
      <c r="C285" s="29"/>
      <c r="D285" s="30"/>
      <c r="E285" s="30"/>
      <c r="F285" s="8"/>
    </row>
    <row r="286">
      <c r="B286" s="28"/>
      <c r="C286" s="29"/>
      <c r="D286" s="30"/>
      <c r="E286" s="30"/>
      <c r="F286" s="8"/>
    </row>
    <row r="287">
      <c r="B287" s="28"/>
      <c r="C287" s="29"/>
      <c r="D287" s="30"/>
      <c r="E287" s="30"/>
      <c r="F287" s="8"/>
    </row>
    <row r="288">
      <c r="B288" s="28"/>
      <c r="C288" s="29"/>
      <c r="D288" s="30"/>
      <c r="E288" s="30"/>
      <c r="F288" s="8"/>
    </row>
    <row r="289">
      <c r="B289" s="28"/>
      <c r="C289" s="29"/>
      <c r="D289" s="30"/>
      <c r="E289" s="30"/>
      <c r="F289" s="8"/>
    </row>
    <row r="290">
      <c r="B290" s="28"/>
      <c r="C290" s="29"/>
      <c r="D290" s="30"/>
      <c r="E290" s="30"/>
      <c r="F290" s="8"/>
    </row>
    <row r="291">
      <c r="B291" s="28"/>
      <c r="C291" s="29"/>
      <c r="D291" s="30"/>
      <c r="E291" s="30"/>
      <c r="F291" s="8"/>
    </row>
    <row r="292">
      <c r="B292" s="28"/>
      <c r="C292" s="29"/>
      <c r="D292" s="30"/>
      <c r="E292" s="30"/>
      <c r="F292" s="8"/>
    </row>
    <row r="293">
      <c r="B293" s="28"/>
      <c r="C293" s="29"/>
      <c r="D293" s="30"/>
      <c r="E293" s="30"/>
      <c r="F293" s="8"/>
    </row>
    <row r="294">
      <c r="B294" s="28"/>
      <c r="C294" s="29"/>
      <c r="D294" s="30"/>
      <c r="E294" s="30"/>
      <c r="F294" s="8"/>
    </row>
    <row r="295">
      <c r="B295" s="28"/>
      <c r="C295" s="29"/>
      <c r="D295" s="30"/>
      <c r="E295" s="30"/>
      <c r="F295" s="8"/>
    </row>
    <row r="296">
      <c r="B296" s="28"/>
      <c r="C296" s="29"/>
      <c r="D296" s="30"/>
      <c r="E296" s="30"/>
      <c r="F296" s="8"/>
    </row>
    <row r="297">
      <c r="B297" s="28"/>
      <c r="C297" s="29"/>
      <c r="D297" s="30"/>
      <c r="E297" s="30"/>
      <c r="F297" s="8"/>
    </row>
    <row r="298">
      <c r="B298" s="28"/>
      <c r="C298" s="29"/>
      <c r="D298" s="30"/>
      <c r="E298" s="30"/>
      <c r="F298" s="8"/>
    </row>
    <row r="299">
      <c r="B299" s="28"/>
      <c r="C299" s="29"/>
      <c r="D299" s="30"/>
      <c r="E299" s="30"/>
      <c r="F299" s="8"/>
    </row>
    <row r="300">
      <c r="B300" s="28"/>
      <c r="C300" s="29"/>
      <c r="D300" s="30"/>
      <c r="E300" s="30"/>
      <c r="F300" s="8"/>
    </row>
    <row r="301">
      <c r="B301" s="28"/>
      <c r="C301" s="29"/>
      <c r="D301" s="30"/>
      <c r="E301" s="30"/>
      <c r="F301" s="8"/>
    </row>
    <row r="302">
      <c r="B302" s="28"/>
      <c r="C302" s="29"/>
      <c r="D302" s="30"/>
      <c r="E302" s="30"/>
      <c r="F302" s="8"/>
    </row>
    <row r="303">
      <c r="B303" s="28"/>
      <c r="C303" s="29"/>
      <c r="D303" s="30"/>
      <c r="E303" s="30"/>
      <c r="F303" s="8"/>
    </row>
    <row r="304">
      <c r="B304" s="28"/>
      <c r="C304" s="29"/>
      <c r="D304" s="30"/>
      <c r="E304" s="30"/>
      <c r="F304" s="8"/>
    </row>
    <row r="305">
      <c r="B305" s="28"/>
      <c r="C305" s="29"/>
      <c r="D305" s="30"/>
      <c r="E305" s="30"/>
      <c r="F305" s="8"/>
    </row>
    <row r="306">
      <c r="B306" s="28"/>
      <c r="C306" s="29"/>
      <c r="D306" s="30"/>
      <c r="E306" s="30"/>
      <c r="F306" s="8"/>
    </row>
    <row r="307">
      <c r="B307" s="28"/>
      <c r="C307" s="29"/>
      <c r="D307" s="30"/>
      <c r="E307" s="30"/>
      <c r="F307" s="8"/>
    </row>
    <row r="308">
      <c r="B308" s="28"/>
      <c r="C308" s="29"/>
      <c r="D308" s="30"/>
      <c r="E308" s="30"/>
      <c r="F308" s="8"/>
    </row>
    <row r="309">
      <c r="B309" s="28"/>
      <c r="C309" s="29"/>
      <c r="D309" s="30"/>
      <c r="E309" s="30"/>
      <c r="F309" s="8"/>
    </row>
    <row r="310">
      <c r="B310" s="28"/>
      <c r="C310" s="29"/>
      <c r="D310" s="30"/>
      <c r="E310" s="30"/>
      <c r="F310" s="8"/>
    </row>
    <row r="311">
      <c r="B311" s="28"/>
      <c r="C311" s="29"/>
      <c r="D311" s="30"/>
      <c r="E311" s="30"/>
      <c r="F311" s="8"/>
    </row>
    <row r="312">
      <c r="B312" s="28"/>
      <c r="C312" s="29"/>
      <c r="D312" s="30"/>
      <c r="E312" s="30"/>
      <c r="F312" s="8"/>
    </row>
    <row r="313">
      <c r="B313" s="28"/>
      <c r="C313" s="29"/>
      <c r="D313" s="30"/>
      <c r="E313" s="30"/>
      <c r="F313" s="8"/>
    </row>
    <row r="314">
      <c r="B314" s="28"/>
      <c r="C314" s="29"/>
      <c r="D314" s="30"/>
      <c r="E314" s="30"/>
      <c r="F314" s="8"/>
    </row>
    <row r="315">
      <c r="B315" s="28"/>
      <c r="C315" s="29"/>
      <c r="D315" s="30"/>
      <c r="E315" s="30"/>
      <c r="F315" s="8"/>
    </row>
    <row r="316">
      <c r="B316" s="28"/>
      <c r="C316" s="29"/>
      <c r="D316" s="30"/>
      <c r="E316" s="30"/>
      <c r="F316" s="8"/>
    </row>
    <row r="317">
      <c r="B317" s="28"/>
      <c r="C317" s="29"/>
      <c r="D317" s="30"/>
      <c r="E317" s="30"/>
      <c r="F317" s="8"/>
    </row>
    <row r="318">
      <c r="B318" s="28"/>
      <c r="C318" s="29"/>
      <c r="D318" s="30"/>
      <c r="E318" s="30"/>
      <c r="F318" s="8"/>
    </row>
    <row r="319">
      <c r="B319" s="28"/>
      <c r="C319" s="29"/>
      <c r="D319" s="30"/>
      <c r="E319" s="30"/>
      <c r="F319" s="8"/>
    </row>
    <row r="320">
      <c r="B320" s="28"/>
      <c r="C320" s="29"/>
      <c r="D320" s="30"/>
      <c r="E320" s="30"/>
      <c r="F320" s="8"/>
    </row>
    <row r="321">
      <c r="B321" s="28"/>
      <c r="C321" s="29"/>
      <c r="D321" s="30"/>
      <c r="E321" s="30"/>
      <c r="F321" s="8"/>
    </row>
    <row r="322">
      <c r="B322" s="28"/>
      <c r="C322" s="29"/>
      <c r="D322" s="30"/>
      <c r="E322" s="30"/>
      <c r="F322" s="8"/>
    </row>
    <row r="323">
      <c r="B323" s="28"/>
      <c r="C323" s="29"/>
      <c r="D323" s="30"/>
      <c r="E323" s="30"/>
      <c r="F323" s="8"/>
    </row>
    <row r="324">
      <c r="B324" s="28"/>
      <c r="C324" s="29"/>
      <c r="D324" s="30"/>
      <c r="E324" s="30"/>
      <c r="F324" s="8"/>
    </row>
    <row r="325">
      <c r="B325" s="28"/>
      <c r="C325" s="29"/>
      <c r="D325" s="30"/>
      <c r="E325" s="30"/>
      <c r="F325" s="8"/>
    </row>
    <row r="326">
      <c r="B326" s="28"/>
      <c r="C326" s="29"/>
      <c r="D326" s="30"/>
      <c r="E326" s="30"/>
      <c r="F326" s="8"/>
    </row>
    <row r="327">
      <c r="B327" s="28"/>
      <c r="C327" s="29"/>
      <c r="D327" s="30"/>
      <c r="E327" s="30"/>
      <c r="F327" s="8"/>
    </row>
    <row r="328">
      <c r="B328" s="28"/>
      <c r="C328" s="29"/>
      <c r="D328" s="30"/>
      <c r="E328" s="30"/>
      <c r="F328" s="8"/>
    </row>
    <row r="329">
      <c r="B329" s="28"/>
      <c r="C329" s="29"/>
      <c r="D329" s="30"/>
      <c r="E329" s="30"/>
      <c r="F329" s="8"/>
    </row>
    <row r="330">
      <c r="B330" s="28"/>
      <c r="C330" s="29"/>
      <c r="D330" s="30"/>
      <c r="E330" s="30"/>
      <c r="F330" s="8"/>
    </row>
    <row r="331">
      <c r="B331" s="28"/>
      <c r="C331" s="29"/>
      <c r="D331" s="30"/>
      <c r="E331" s="30"/>
      <c r="F331" s="8"/>
    </row>
    <row r="332">
      <c r="B332" s="28"/>
      <c r="C332" s="29"/>
      <c r="D332" s="30"/>
      <c r="E332" s="30"/>
      <c r="F332" s="8"/>
    </row>
    <row r="333">
      <c r="B333" s="28"/>
      <c r="C333" s="29"/>
      <c r="D333" s="30"/>
      <c r="E333" s="30"/>
      <c r="F333" s="8"/>
    </row>
    <row r="334">
      <c r="B334" s="28"/>
      <c r="C334" s="29"/>
      <c r="D334" s="30"/>
      <c r="E334" s="30"/>
      <c r="F334" s="8"/>
    </row>
    <row r="335">
      <c r="B335" s="28"/>
      <c r="C335" s="29"/>
      <c r="D335" s="30"/>
      <c r="E335" s="30"/>
      <c r="F335" s="8"/>
    </row>
    <row r="336">
      <c r="B336" s="28"/>
      <c r="C336" s="29"/>
      <c r="D336" s="30"/>
      <c r="E336" s="30"/>
      <c r="F336" s="8"/>
    </row>
    <row r="337">
      <c r="B337" s="28"/>
      <c r="C337" s="29"/>
      <c r="D337" s="30"/>
      <c r="E337" s="30"/>
      <c r="F337" s="8"/>
    </row>
    <row r="338">
      <c r="B338" s="28"/>
      <c r="C338" s="29"/>
      <c r="D338" s="30"/>
      <c r="E338" s="30"/>
      <c r="F338" s="8"/>
    </row>
    <row r="339">
      <c r="B339" s="28"/>
      <c r="C339" s="29"/>
      <c r="D339" s="30"/>
      <c r="E339" s="30"/>
      <c r="F339" s="8"/>
    </row>
    <row r="340">
      <c r="B340" s="28"/>
      <c r="C340" s="29"/>
      <c r="D340" s="30"/>
      <c r="E340" s="30"/>
      <c r="F340" s="8"/>
    </row>
    <row r="341">
      <c r="B341" s="28"/>
      <c r="C341" s="29"/>
      <c r="D341" s="30"/>
      <c r="E341" s="30"/>
      <c r="F341" s="8"/>
    </row>
    <row r="342">
      <c r="B342" s="28"/>
      <c r="C342" s="29"/>
      <c r="D342" s="30"/>
      <c r="E342" s="30"/>
      <c r="F342" s="8"/>
    </row>
    <row r="343">
      <c r="B343" s="28"/>
      <c r="C343" s="29"/>
      <c r="D343" s="30"/>
      <c r="E343" s="30"/>
      <c r="F343" s="8"/>
    </row>
    <row r="344">
      <c r="B344" s="28"/>
      <c r="C344" s="29"/>
      <c r="D344" s="30"/>
      <c r="E344" s="30"/>
      <c r="F344" s="8"/>
    </row>
    <row r="345">
      <c r="B345" s="28"/>
      <c r="C345" s="29"/>
      <c r="D345" s="30"/>
      <c r="E345" s="30"/>
      <c r="F345" s="8"/>
    </row>
    <row r="346">
      <c r="B346" s="28"/>
      <c r="C346" s="29"/>
      <c r="D346" s="30"/>
      <c r="E346" s="30"/>
      <c r="F346" s="8"/>
    </row>
    <row r="347">
      <c r="B347" s="28"/>
      <c r="C347" s="29"/>
      <c r="D347" s="30"/>
      <c r="E347" s="30"/>
      <c r="F347" s="8"/>
    </row>
    <row r="348">
      <c r="B348" s="28"/>
      <c r="C348" s="29"/>
      <c r="D348" s="30"/>
      <c r="E348" s="30"/>
      <c r="F348" s="8"/>
    </row>
    <row r="349">
      <c r="B349" s="28"/>
      <c r="C349" s="29"/>
      <c r="D349" s="30"/>
      <c r="E349" s="30"/>
      <c r="F349" s="8"/>
    </row>
    <row r="350">
      <c r="B350" s="28"/>
      <c r="C350" s="29"/>
      <c r="D350" s="30"/>
      <c r="E350" s="30"/>
      <c r="F350" s="8"/>
    </row>
    <row r="351">
      <c r="B351" s="28"/>
      <c r="C351" s="29"/>
      <c r="D351" s="30"/>
      <c r="E351" s="30"/>
      <c r="F351" s="8"/>
    </row>
    <row r="352">
      <c r="B352" s="28"/>
      <c r="C352" s="29"/>
      <c r="D352" s="30"/>
      <c r="E352" s="30"/>
      <c r="F352" s="8"/>
    </row>
    <row r="353">
      <c r="B353" s="28"/>
      <c r="C353" s="29"/>
      <c r="D353" s="30"/>
      <c r="E353" s="30"/>
      <c r="F353" s="8"/>
    </row>
    <row r="354">
      <c r="B354" s="28"/>
      <c r="C354" s="29"/>
      <c r="D354" s="30"/>
      <c r="E354" s="30"/>
      <c r="F354" s="8"/>
    </row>
    <row r="355">
      <c r="B355" s="28"/>
      <c r="C355" s="29"/>
      <c r="D355" s="30"/>
      <c r="E355" s="30"/>
      <c r="F355" s="8"/>
    </row>
    <row r="356">
      <c r="B356" s="28"/>
      <c r="C356" s="29"/>
      <c r="D356" s="30"/>
      <c r="E356" s="30"/>
      <c r="F356" s="8"/>
    </row>
    <row r="357">
      <c r="B357" s="28"/>
      <c r="C357" s="29"/>
      <c r="D357" s="30"/>
      <c r="E357" s="30"/>
      <c r="F357" s="8"/>
    </row>
    <row r="358">
      <c r="B358" s="28"/>
      <c r="C358" s="29"/>
      <c r="D358" s="30"/>
      <c r="E358" s="30"/>
      <c r="F358" s="8"/>
    </row>
    <row r="359">
      <c r="B359" s="28"/>
      <c r="C359" s="29"/>
      <c r="D359" s="30"/>
      <c r="E359" s="30"/>
      <c r="F359" s="8"/>
    </row>
    <row r="360">
      <c r="B360" s="28"/>
      <c r="C360" s="29"/>
      <c r="D360" s="30"/>
      <c r="E360" s="30"/>
      <c r="F360" s="8"/>
    </row>
    <row r="361">
      <c r="B361" s="28"/>
      <c r="C361" s="29"/>
      <c r="D361" s="30"/>
      <c r="E361" s="30"/>
      <c r="F361" s="8"/>
    </row>
    <row r="362">
      <c r="B362" s="28"/>
      <c r="C362" s="29"/>
      <c r="D362" s="30"/>
      <c r="E362" s="30"/>
      <c r="F362" s="8"/>
    </row>
    <row r="363">
      <c r="B363" s="28"/>
      <c r="C363" s="29"/>
      <c r="D363" s="30"/>
      <c r="E363" s="30"/>
      <c r="F363" s="8"/>
    </row>
    <row r="364">
      <c r="B364" s="28"/>
      <c r="C364" s="29"/>
      <c r="D364" s="30"/>
      <c r="E364" s="30"/>
      <c r="F364" s="8"/>
    </row>
    <row r="365">
      <c r="B365" s="28"/>
      <c r="C365" s="29"/>
      <c r="D365" s="30"/>
      <c r="E365" s="30"/>
      <c r="F365" s="8"/>
    </row>
    <row r="366">
      <c r="B366" s="28"/>
      <c r="C366" s="29"/>
      <c r="D366" s="30"/>
      <c r="E366" s="30"/>
      <c r="F366" s="8"/>
    </row>
    <row r="367">
      <c r="B367" s="28"/>
      <c r="C367" s="29"/>
      <c r="D367" s="30"/>
      <c r="E367" s="30"/>
      <c r="F367" s="8"/>
    </row>
    <row r="368">
      <c r="B368" s="28"/>
      <c r="C368" s="29"/>
      <c r="D368" s="30"/>
      <c r="E368" s="30"/>
      <c r="F368" s="8"/>
    </row>
    <row r="369">
      <c r="B369" s="28"/>
      <c r="C369" s="29"/>
      <c r="D369" s="30"/>
      <c r="E369" s="30"/>
      <c r="F369" s="8"/>
    </row>
    <row r="370">
      <c r="B370" s="28"/>
      <c r="C370" s="29"/>
      <c r="D370" s="30"/>
      <c r="E370" s="30"/>
      <c r="F370" s="8"/>
    </row>
    <row r="371">
      <c r="B371" s="28"/>
      <c r="C371" s="29"/>
      <c r="D371" s="30"/>
      <c r="E371" s="30"/>
      <c r="F371" s="8"/>
    </row>
    <row r="372">
      <c r="B372" s="28"/>
      <c r="C372" s="29"/>
      <c r="D372" s="30"/>
      <c r="E372" s="30"/>
      <c r="F372" s="8"/>
    </row>
    <row r="373">
      <c r="B373" s="28"/>
      <c r="C373" s="29"/>
      <c r="D373" s="30"/>
      <c r="E373" s="30"/>
      <c r="F373" s="8"/>
    </row>
    <row r="374">
      <c r="B374" s="28"/>
      <c r="C374" s="29"/>
      <c r="D374" s="30"/>
      <c r="E374" s="30"/>
      <c r="F374" s="8"/>
    </row>
    <row r="375">
      <c r="B375" s="28"/>
      <c r="C375" s="29"/>
      <c r="D375" s="30"/>
      <c r="E375" s="30"/>
      <c r="F375" s="8"/>
    </row>
    <row r="376">
      <c r="B376" s="28"/>
      <c r="C376" s="29"/>
      <c r="D376" s="30"/>
      <c r="E376" s="30"/>
      <c r="F376" s="8"/>
    </row>
    <row r="377">
      <c r="B377" s="28"/>
      <c r="C377" s="29"/>
      <c r="D377" s="30"/>
      <c r="E377" s="30"/>
      <c r="F377" s="8"/>
    </row>
    <row r="378">
      <c r="B378" s="28"/>
      <c r="C378" s="29"/>
      <c r="D378" s="30"/>
      <c r="E378" s="30"/>
      <c r="F378" s="8"/>
    </row>
    <row r="379">
      <c r="B379" s="28"/>
      <c r="C379" s="29"/>
      <c r="D379" s="30"/>
      <c r="E379" s="30"/>
      <c r="F379" s="8"/>
    </row>
    <row r="380">
      <c r="B380" s="28"/>
      <c r="C380" s="29"/>
      <c r="D380" s="30"/>
      <c r="E380" s="30"/>
      <c r="F380" s="8"/>
    </row>
    <row r="381">
      <c r="B381" s="28"/>
      <c r="C381" s="29"/>
      <c r="D381" s="30"/>
      <c r="E381" s="30"/>
      <c r="F381" s="8"/>
    </row>
    <row r="382">
      <c r="B382" s="28"/>
      <c r="C382" s="29"/>
      <c r="D382" s="30"/>
      <c r="E382" s="30"/>
      <c r="F382" s="8"/>
    </row>
    <row r="383">
      <c r="B383" s="28"/>
      <c r="C383" s="29"/>
      <c r="D383" s="30"/>
      <c r="E383" s="30"/>
      <c r="F383" s="8"/>
    </row>
    <row r="384">
      <c r="B384" s="28"/>
      <c r="C384" s="29"/>
      <c r="D384" s="30"/>
      <c r="E384" s="30"/>
      <c r="F384" s="8"/>
    </row>
    <row r="385">
      <c r="B385" s="28"/>
      <c r="C385" s="29"/>
      <c r="D385" s="30"/>
      <c r="E385" s="30"/>
      <c r="F385" s="8"/>
    </row>
    <row r="386">
      <c r="B386" s="28"/>
      <c r="C386" s="29"/>
      <c r="D386" s="30"/>
      <c r="E386" s="30"/>
      <c r="F386" s="8"/>
    </row>
    <row r="387">
      <c r="B387" s="28"/>
      <c r="C387" s="29"/>
      <c r="D387" s="30"/>
      <c r="E387" s="30"/>
      <c r="F387" s="8"/>
    </row>
    <row r="388">
      <c r="B388" s="28"/>
      <c r="C388" s="29"/>
      <c r="D388" s="30"/>
      <c r="E388" s="30"/>
      <c r="F388" s="8"/>
    </row>
    <row r="389">
      <c r="B389" s="28"/>
      <c r="C389" s="29"/>
      <c r="D389" s="30"/>
      <c r="E389" s="30"/>
      <c r="F389" s="8"/>
    </row>
    <row r="390">
      <c r="B390" s="28"/>
      <c r="C390" s="29"/>
      <c r="D390" s="30"/>
      <c r="E390" s="30"/>
      <c r="F390" s="8"/>
    </row>
    <row r="391">
      <c r="B391" s="28"/>
      <c r="C391" s="29"/>
      <c r="D391" s="30"/>
      <c r="E391" s="30"/>
      <c r="F391" s="8"/>
    </row>
    <row r="392">
      <c r="B392" s="28"/>
      <c r="C392" s="29"/>
      <c r="D392" s="30"/>
      <c r="E392" s="30"/>
      <c r="F392" s="8"/>
    </row>
    <row r="393">
      <c r="B393" s="28"/>
      <c r="C393" s="29"/>
      <c r="D393" s="30"/>
      <c r="E393" s="30"/>
      <c r="F393" s="8"/>
    </row>
    <row r="394">
      <c r="B394" s="28"/>
      <c r="C394" s="29"/>
      <c r="D394" s="30"/>
      <c r="E394" s="30"/>
      <c r="F394" s="8"/>
    </row>
    <row r="395">
      <c r="B395" s="28"/>
      <c r="C395" s="29"/>
      <c r="D395" s="30"/>
      <c r="E395" s="30"/>
      <c r="F395" s="8"/>
    </row>
    <row r="396">
      <c r="B396" s="28"/>
      <c r="C396" s="29"/>
      <c r="D396" s="30"/>
      <c r="E396" s="30"/>
      <c r="F396" s="8"/>
    </row>
    <row r="397">
      <c r="B397" s="28"/>
      <c r="C397" s="29"/>
      <c r="D397" s="30"/>
      <c r="E397" s="30"/>
      <c r="F397" s="8"/>
    </row>
    <row r="398">
      <c r="B398" s="28"/>
      <c r="C398" s="29"/>
      <c r="D398" s="30"/>
      <c r="E398" s="30"/>
      <c r="F398" s="8"/>
    </row>
    <row r="399">
      <c r="B399" s="28"/>
      <c r="C399" s="29"/>
      <c r="D399" s="30"/>
      <c r="E399" s="30"/>
      <c r="F399" s="8"/>
    </row>
    <row r="400">
      <c r="B400" s="28"/>
      <c r="C400" s="29"/>
      <c r="D400" s="30"/>
      <c r="E400" s="30"/>
      <c r="F400" s="8"/>
    </row>
    <row r="401">
      <c r="B401" s="28"/>
      <c r="C401" s="29"/>
      <c r="D401" s="30"/>
      <c r="E401" s="30"/>
      <c r="F401" s="8"/>
    </row>
    <row r="402">
      <c r="B402" s="28"/>
      <c r="C402" s="29"/>
      <c r="D402" s="30"/>
      <c r="E402" s="30"/>
      <c r="F402" s="8"/>
    </row>
    <row r="403">
      <c r="B403" s="28"/>
      <c r="C403" s="29"/>
      <c r="D403" s="30"/>
      <c r="E403" s="30"/>
      <c r="F403" s="8"/>
    </row>
    <row r="404">
      <c r="B404" s="28"/>
      <c r="C404" s="29"/>
      <c r="D404" s="30"/>
      <c r="E404" s="30"/>
      <c r="F404" s="8"/>
    </row>
    <row r="405">
      <c r="B405" s="28"/>
      <c r="C405" s="29"/>
      <c r="D405" s="30"/>
      <c r="E405" s="30"/>
      <c r="F405" s="8"/>
    </row>
    <row r="406">
      <c r="B406" s="28"/>
      <c r="C406" s="29"/>
      <c r="D406" s="30"/>
      <c r="E406" s="30"/>
      <c r="F406" s="8"/>
    </row>
    <row r="407">
      <c r="B407" s="28"/>
      <c r="C407" s="29"/>
      <c r="D407" s="30"/>
      <c r="E407" s="30"/>
      <c r="F407" s="8"/>
    </row>
    <row r="408">
      <c r="B408" s="28"/>
      <c r="C408" s="29"/>
      <c r="D408" s="30"/>
      <c r="E408" s="30"/>
      <c r="F408" s="8"/>
    </row>
    <row r="409">
      <c r="B409" s="28"/>
      <c r="C409" s="29"/>
      <c r="D409" s="30"/>
      <c r="E409" s="30"/>
      <c r="F409" s="8"/>
    </row>
    <row r="410">
      <c r="B410" s="28"/>
      <c r="C410" s="29"/>
      <c r="D410" s="30"/>
      <c r="E410" s="30"/>
      <c r="F410" s="8"/>
    </row>
    <row r="411">
      <c r="B411" s="28"/>
      <c r="C411" s="29"/>
      <c r="D411" s="30"/>
      <c r="E411" s="30"/>
      <c r="F411" s="8"/>
    </row>
    <row r="412">
      <c r="B412" s="28"/>
      <c r="C412" s="29"/>
      <c r="D412" s="30"/>
      <c r="E412" s="30"/>
      <c r="F412" s="8"/>
    </row>
    <row r="413">
      <c r="B413" s="28"/>
      <c r="C413" s="29"/>
      <c r="D413" s="30"/>
      <c r="E413" s="30"/>
      <c r="F413" s="8"/>
    </row>
    <row r="414">
      <c r="B414" s="28"/>
      <c r="C414" s="29"/>
      <c r="D414" s="30"/>
      <c r="E414" s="30"/>
      <c r="F414" s="8"/>
    </row>
    <row r="415">
      <c r="B415" s="28"/>
      <c r="C415" s="29"/>
      <c r="D415" s="30"/>
      <c r="E415" s="30"/>
      <c r="F415" s="8"/>
    </row>
    <row r="416">
      <c r="B416" s="28"/>
      <c r="C416" s="29"/>
      <c r="D416" s="30"/>
      <c r="E416" s="30"/>
      <c r="F416" s="8"/>
    </row>
    <row r="417">
      <c r="B417" s="28"/>
      <c r="C417" s="29"/>
      <c r="D417" s="30"/>
      <c r="E417" s="30"/>
      <c r="F417" s="8"/>
    </row>
    <row r="418">
      <c r="B418" s="28"/>
      <c r="C418" s="29"/>
      <c r="D418" s="30"/>
      <c r="E418" s="30"/>
      <c r="F418" s="8"/>
    </row>
    <row r="419">
      <c r="B419" s="28"/>
      <c r="C419" s="29"/>
      <c r="D419" s="30"/>
      <c r="E419" s="30"/>
      <c r="F419" s="8"/>
    </row>
    <row r="420">
      <c r="B420" s="28"/>
      <c r="C420" s="29"/>
      <c r="D420" s="30"/>
      <c r="E420" s="30"/>
      <c r="F420" s="8"/>
    </row>
    <row r="421">
      <c r="B421" s="28"/>
      <c r="C421" s="29"/>
      <c r="D421" s="30"/>
      <c r="E421" s="30"/>
      <c r="F421" s="8"/>
    </row>
    <row r="422">
      <c r="B422" s="28"/>
      <c r="C422" s="29"/>
      <c r="D422" s="30"/>
      <c r="E422" s="30"/>
      <c r="F422" s="8"/>
    </row>
    <row r="423">
      <c r="B423" s="28"/>
      <c r="C423" s="29"/>
      <c r="D423" s="30"/>
      <c r="E423" s="30"/>
      <c r="F423" s="8"/>
    </row>
    <row r="424">
      <c r="B424" s="28"/>
      <c r="C424" s="29"/>
      <c r="D424" s="30"/>
      <c r="E424" s="30"/>
      <c r="F424" s="8"/>
    </row>
    <row r="425">
      <c r="B425" s="28"/>
      <c r="C425" s="29"/>
      <c r="D425" s="30"/>
      <c r="E425" s="30"/>
      <c r="F425" s="8"/>
    </row>
    <row r="426">
      <c r="B426" s="28"/>
      <c r="C426" s="29"/>
      <c r="D426" s="30"/>
      <c r="E426" s="30"/>
      <c r="F426" s="8"/>
    </row>
    <row r="427">
      <c r="B427" s="28"/>
      <c r="C427" s="29"/>
      <c r="D427" s="30"/>
      <c r="E427" s="30"/>
      <c r="F427" s="8"/>
    </row>
    <row r="428">
      <c r="B428" s="28"/>
      <c r="C428" s="29"/>
      <c r="D428" s="30"/>
      <c r="E428" s="30"/>
      <c r="F428" s="8"/>
    </row>
    <row r="429">
      <c r="B429" s="28"/>
      <c r="C429" s="29"/>
      <c r="D429" s="30"/>
      <c r="E429" s="30"/>
      <c r="F429" s="8"/>
    </row>
    <row r="430">
      <c r="B430" s="28"/>
      <c r="C430" s="29"/>
      <c r="D430" s="30"/>
      <c r="E430" s="30"/>
      <c r="F430" s="8"/>
    </row>
    <row r="431">
      <c r="B431" s="28"/>
      <c r="C431" s="29"/>
      <c r="D431" s="30"/>
      <c r="E431" s="30"/>
      <c r="F431" s="8"/>
    </row>
    <row r="432">
      <c r="B432" s="28"/>
      <c r="C432" s="29"/>
      <c r="D432" s="30"/>
      <c r="E432" s="30"/>
      <c r="F432" s="8"/>
    </row>
    <row r="433">
      <c r="B433" s="28"/>
      <c r="C433" s="29"/>
      <c r="D433" s="30"/>
      <c r="E433" s="30"/>
      <c r="F433" s="8"/>
    </row>
    <row r="434">
      <c r="B434" s="28"/>
      <c r="C434" s="29"/>
      <c r="D434" s="30"/>
      <c r="E434" s="30"/>
      <c r="F434" s="8"/>
    </row>
    <row r="435">
      <c r="B435" s="28"/>
      <c r="C435" s="29"/>
      <c r="D435" s="30"/>
      <c r="E435" s="30"/>
      <c r="F435" s="8"/>
    </row>
    <row r="436">
      <c r="B436" s="28"/>
      <c r="C436" s="29"/>
      <c r="D436" s="30"/>
      <c r="E436" s="30"/>
      <c r="F436" s="8"/>
    </row>
    <row r="437">
      <c r="B437" s="28"/>
      <c r="C437" s="29"/>
      <c r="D437" s="30"/>
      <c r="E437" s="30"/>
      <c r="F437" s="8"/>
    </row>
    <row r="438">
      <c r="B438" s="28"/>
      <c r="C438" s="29"/>
      <c r="D438" s="30"/>
      <c r="E438" s="30"/>
      <c r="F438" s="8"/>
    </row>
    <row r="439">
      <c r="B439" s="28"/>
      <c r="C439" s="29"/>
      <c r="D439" s="30"/>
      <c r="E439" s="30"/>
      <c r="F439" s="8"/>
    </row>
    <row r="440">
      <c r="B440" s="28"/>
      <c r="C440" s="29"/>
      <c r="D440" s="30"/>
      <c r="E440" s="30"/>
      <c r="F440" s="8"/>
    </row>
    <row r="441">
      <c r="B441" s="28"/>
      <c r="C441" s="29"/>
      <c r="D441" s="30"/>
      <c r="E441" s="30"/>
      <c r="F441" s="8"/>
    </row>
    <row r="442">
      <c r="B442" s="28"/>
      <c r="C442" s="29"/>
      <c r="D442" s="30"/>
      <c r="E442" s="30"/>
      <c r="F442" s="8"/>
    </row>
    <row r="443">
      <c r="B443" s="28"/>
      <c r="C443" s="29"/>
      <c r="D443" s="30"/>
      <c r="E443" s="30"/>
      <c r="F443" s="8"/>
    </row>
    <row r="444">
      <c r="B444" s="28"/>
      <c r="C444" s="29"/>
      <c r="D444" s="30"/>
      <c r="E444" s="30"/>
      <c r="F444" s="8"/>
    </row>
    <row r="445">
      <c r="B445" s="28"/>
      <c r="C445" s="29"/>
      <c r="D445" s="30"/>
      <c r="E445" s="30"/>
      <c r="F445" s="8"/>
    </row>
    <row r="446">
      <c r="B446" s="28"/>
      <c r="C446" s="29"/>
      <c r="D446" s="30"/>
      <c r="E446" s="30"/>
      <c r="F446" s="8"/>
    </row>
    <row r="447">
      <c r="B447" s="28"/>
      <c r="C447" s="29"/>
      <c r="D447" s="30"/>
      <c r="E447" s="30"/>
      <c r="F447" s="8"/>
    </row>
    <row r="448">
      <c r="B448" s="28"/>
      <c r="C448" s="29"/>
      <c r="D448" s="30"/>
      <c r="E448" s="30"/>
      <c r="F448" s="8"/>
    </row>
    <row r="449">
      <c r="B449" s="28"/>
      <c r="C449" s="29"/>
      <c r="D449" s="30"/>
      <c r="E449" s="30"/>
      <c r="F449" s="8"/>
    </row>
    <row r="450">
      <c r="B450" s="28"/>
      <c r="C450" s="29"/>
      <c r="D450" s="30"/>
      <c r="E450" s="30"/>
      <c r="F450" s="8"/>
    </row>
    <row r="451">
      <c r="B451" s="28"/>
      <c r="C451" s="29"/>
      <c r="D451" s="30"/>
      <c r="E451" s="30"/>
      <c r="F451" s="8"/>
    </row>
    <row r="452">
      <c r="B452" s="28"/>
      <c r="C452" s="29"/>
      <c r="D452" s="30"/>
      <c r="E452" s="30"/>
      <c r="F452" s="8"/>
    </row>
    <row r="453">
      <c r="B453" s="28"/>
      <c r="C453" s="29"/>
      <c r="D453" s="30"/>
      <c r="E453" s="30"/>
      <c r="F453" s="8"/>
    </row>
    <row r="454">
      <c r="B454" s="28"/>
      <c r="C454" s="29"/>
      <c r="D454" s="30"/>
      <c r="E454" s="30"/>
      <c r="F454" s="8"/>
    </row>
    <row r="455">
      <c r="B455" s="28"/>
      <c r="C455" s="29"/>
      <c r="D455" s="30"/>
      <c r="E455" s="30"/>
      <c r="F455" s="8"/>
    </row>
    <row r="456">
      <c r="B456" s="28"/>
      <c r="C456" s="29"/>
      <c r="D456" s="30"/>
      <c r="E456" s="30"/>
      <c r="F456" s="8"/>
    </row>
    <row r="457">
      <c r="B457" s="28"/>
      <c r="C457" s="29"/>
      <c r="D457" s="30"/>
      <c r="E457" s="30"/>
      <c r="F457" s="8"/>
    </row>
    <row r="458">
      <c r="B458" s="28"/>
      <c r="C458" s="29"/>
      <c r="D458" s="30"/>
      <c r="E458" s="30"/>
      <c r="F458" s="8"/>
    </row>
    <row r="459">
      <c r="B459" s="28"/>
      <c r="C459" s="29"/>
      <c r="D459" s="30"/>
      <c r="E459" s="30"/>
      <c r="F459" s="8"/>
    </row>
    <row r="460">
      <c r="B460" s="28"/>
      <c r="C460" s="29"/>
      <c r="D460" s="30"/>
      <c r="E460" s="30"/>
      <c r="F460" s="8"/>
    </row>
    <row r="461">
      <c r="B461" s="28"/>
      <c r="C461" s="29"/>
      <c r="D461" s="30"/>
      <c r="E461" s="30"/>
      <c r="F461" s="8"/>
    </row>
    <row r="462">
      <c r="B462" s="28"/>
      <c r="C462" s="29"/>
      <c r="D462" s="30"/>
      <c r="E462" s="30"/>
      <c r="F462" s="8"/>
    </row>
    <row r="463">
      <c r="B463" s="28"/>
      <c r="C463" s="29"/>
      <c r="D463" s="30"/>
      <c r="E463" s="30"/>
      <c r="F463" s="8"/>
    </row>
    <row r="464">
      <c r="B464" s="28"/>
      <c r="C464" s="29"/>
      <c r="D464" s="30"/>
      <c r="E464" s="30"/>
      <c r="F464" s="8"/>
    </row>
    <row r="465">
      <c r="B465" s="28"/>
      <c r="C465" s="29"/>
      <c r="D465" s="30"/>
      <c r="E465" s="30"/>
      <c r="F465" s="8"/>
    </row>
    <row r="466">
      <c r="B466" s="28"/>
      <c r="C466" s="29"/>
      <c r="D466" s="30"/>
      <c r="E466" s="30"/>
      <c r="F466" s="8"/>
    </row>
    <row r="467">
      <c r="B467" s="28"/>
      <c r="C467" s="29"/>
      <c r="D467" s="30"/>
      <c r="E467" s="30"/>
      <c r="F467" s="8"/>
    </row>
    <row r="468">
      <c r="B468" s="28"/>
      <c r="C468" s="29"/>
      <c r="D468" s="30"/>
      <c r="E468" s="30"/>
      <c r="F468" s="8"/>
    </row>
    <row r="469">
      <c r="B469" s="28"/>
      <c r="C469" s="29"/>
      <c r="D469" s="30"/>
      <c r="E469" s="30"/>
      <c r="F469" s="8"/>
    </row>
    <row r="470">
      <c r="B470" s="28"/>
      <c r="C470" s="29"/>
      <c r="D470" s="30"/>
      <c r="E470" s="30"/>
      <c r="F470" s="8"/>
    </row>
    <row r="471">
      <c r="B471" s="28"/>
      <c r="C471" s="29"/>
      <c r="D471" s="30"/>
      <c r="E471" s="30"/>
      <c r="F471" s="8"/>
    </row>
    <row r="472">
      <c r="B472" s="28"/>
      <c r="C472" s="29"/>
      <c r="D472" s="30"/>
      <c r="E472" s="30"/>
      <c r="F472" s="8"/>
    </row>
    <row r="473">
      <c r="B473" s="28"/>
      <c r="C473" s="29"/>
      <c r="D473" s="30"/>
      <c r="E473" s="30"/>
      <c r="F473" s="8"/>
    </row>
    <row r="474">
      <c r="B474" s="28"/>
      <c r="C474" s="29"/>
      <c r="D474" s="30"/>
      <c r="E474" s="30"/>
      <c r="F474" s="8"/>
    </row>
    <row r="475">
      <c r="B475" s="28"/>
      <c r="C475" s="29"/>
      <c r="D475" s="30"/>
      <c r="E475" s="30"/>
      <c r="F475" s="8"/>
    </row>
    <row r="476">
      <c r="B476" s="28"/>
      <c r="C476" s="29"/>
      <c r="D476" s="30"/>
      <c r="E476" s="30"/>
      <c r="F476" s="8"/>
    </row>
    <row r="477">
      <c r="B477" s="28"/>
      <c r="C477" s="29"/>
      <c r="D477" s="30"/>
      <c r="E477" s="30"/>
      <c r="F477" s="8"/>
    </row>
    <row r="478">
      <c r="B478" s="28"/>
      <c r="C478" s="29"/>
      <c r="D478" s="30"/>
      <c r="E478" s="30"/>
      <c r="F478" s="8"/>
    </row>
    <row r="479">
      <c r="B479" s="28"/>
      <c r="C479" s="29"/>
      <c r="D479" s="30"/>
      <c r="E479" s="30"/>
      <c r="F479" s="8"/>
    </row>
    <row r="480">
      <c r="B480" s="28"/>
      <c r="C480" s="29"/>
      <c r="D480" s="30"/>
      <c r="E480" s="30"/>
      <c r="F480" s="8"/>
    </row>
    <row r="481">
      <c r="B481" s="28"/>
      <c r="C481" s="29"/>
      <c r="D481" s="30"/>
      <c r="E481" s="30"/>
      <c r="F481" s="8"/>
    </row>
    <row r="482">
      <c r="B482" s="28"/>
      <c r="C482" s="29"/>
      <c r="D482" s="30"/>
      <c r="E482" s="30"/>
      <c r="F482" s="8"/>
    </row>
    <row r="483">
      <c r="B483" s="28"/>
      <c r="C483" s="29"/>
      <c r="D483" s="30"/>
      <c r="E483" s="30"/>
      <c r="F483" s="8"/>
    </row>
    <row r="484">
      <c r="B484" s="28"/>
      <c r="C484" s="29"/>
      <c r="D484" s="30"/>
      <c r="E484" s="30"/>
      <c r="F484" s="8"/>
    </row>
    <row r="485">
      <c r="B485" s="28"/>
      <c r="C485" s="29"/>
      <c r="D485" s="30"/>
      <c r="E485" s="30"/>
      <c r="F485" s="8"/>
    </row>
    <row r="486">
      <c r="B486" s="28"/>
      <c r="C486" s="29"/>
      <c r="D486" s="30"/>
      <c r="E486" s="30"/>
      <c r="F486" s="8"/>
    </row>
    <row r="487">
      <c r="B487" s="28"/>
      <c r="C487" s="29"/>
      <c r="D487" s="30"/>
      <c r="E487" s="30"/>
      <c r="F487" s="8"/>
    </row>
    <row r="488">
      <c r="B488" s="28"/>
      <c r="C488" s="29"/>
      <c r="D488" s="30"/>
      <c r="E488" s="30"/>
      <c r="F488" s="8"/>
    </row>
    <row r="489">
      <c r="B489" s="28"/>
      <c r="C489" s="29"/>
      <c r="D489" s="30"/>
      <c r="E489" s="30"/>
      <c r="F489" s="8"/>
    </row>
    <row r="490">
      <c r="B490" s="28"/>
      <c r="C490" s="29"/>
      <c r="D490" s="30"/>
      <c r="E490" s="30"/>
      <c r="F490" s="8"/>
    </row>
    <row r="491">
      <c r="B491" s="28"/>
      <c r="C491" s="29"/>
      <c r="D491" s="30"/>
      <c r="E491" s="30"/>
      <c r="F491" s="8"/>
    </row>
    <row r="492">
      <c r="B492" s="28"/>
      <c r="C492" s="29"/>
      <c r="D492" s="30"/>
      <c r="E492" s="30"/>
      <c r="F492" s="8"/>
    </row>
    <row r="493">
      <c r="B493" s="28"/>
      <c r="C493" s="29"/>
      <c r="D493" s="30"/>
      <c r="E493" s="30"/>
      <c r="F493" s="8"/>
    </row>
    <row r="494">
      <c r="B494" s="28"/>
      <c r="C494" s="29"/>
      <c r="D494" s="30"/>
      <c r="E494" s="30"/>
      <c r="F494" s="8"/>
    </row>
    <row r="495">
      <c r="B495" s="28"/>
      <c r="C495" s="29"/>
      <c r="D495" s="30"/>
      <c r="E495" s="30"/>
      <c r="F495" s="8"/>
    </row>
    <row r="496">
      <c r="B496" s="28"/>
      <c r="C496" s="29"/>
      <c r="D496" s="30"/>
      <c r="E496" s="30"/>
      <c r="F496" s="8"/>
    </row>
    <row r="497">
      <c r="B497" s="28"/>
      <c r="C497" s="29"/>
      <c r="D497" s="30"/>
      <c r="E497" s="30"/>
      <c r="F497" s="8"/>
    </row>
    <row r="498">
      <c r="B498" s="28"/>
      <c r="C498" s="29"/>
      <c r="D498" s="30"/>
      <c r="E498" s="30"/>
      <c r="F498" s="8"/>
    </row>
    <row r="499">
      <c r="B499" s="28"/>
      <c r="C499" s="29"/>
      <c r="D499" s="30"/>
      <c r="E499" s="30"/>
      <c r="F499" s="8"/>
    </row>
    <row r="500">
      <c r="B500" s="28"/>
      <c r="C500" s="29"/>
      <c r="D500" s="30"/>
      <c r="E500" s="30"/>
      <c r="F500" s="8"/>
    </row>
    <row r="501">
      <c r="B501" s="28"/>
      <c r="C501" s="29"/>
      <c r="D501" s="30"/>
      <c r="E501" s="30"/>
      <c r="F501" s="8"/>
    </row>
    <row r="502">
      <c r="B502" s="28"/>
      <c r="C502" s="29"/>
      <c r="D502" s="30"/>
      <c r="E502" s="30"/>
      <c r="F502" s="8"/>
    </row>
    <row r="503">
      <c r="B503" s="28"/>
      <c r="C503" s="29"/>
      <c r="D503" s="30"/>
      <c r="E503" s="30"/>
      <c r="F503" s="8"/>
    </row>
    <row r="504">
      <c r="B504" s="28"/>
      <c r="C504" s="29"/>
      <c r="D504" s="30"/>
      <c r="E504" s="30"/>
      <c r="F504" s="8"/>
    </row>
    <row r="505">
      <c r="B505" s="28"/>
      <c r="C505" s="29"/>
      <c r="D505" s="30"/>
      <c r="E505" s="30"/>
      <c r="F505" s="8"/>
    </row>
    <row r="506">
      <c r="B506" s="28"/>
      <c r="C506" s="29"/>
      <c r="D506" s="30"/>
      <c r="E506" s="30"/>
      <c r="F506" s="8"/>
    </row>
    <row r="507">
      <c r="B507" s="28"/>
      <c r="C507" s="29"/>
      <c r="D507" s="30"/>
      <c r="E507" s="30"/>
      <c r="F507" s="8"/>
    </row>
    <row r="508">
      <c r="B508" s="28"/>
      <c r="C508" s="29"/>
      <c r="D508" s="30"/>
      <c r="E508" s="30"/>
      <c r="F508" s="8"/>
    </row>
    <row r="509">
      <c r="B509" s="28"/>
      <c r="C509" s="29"/>
      <c r="D509" s="30"/>
      <c r="E509" s="30"/>
      <c r="F509" s="8"/>
    </row>
    <row r="510">
      <c r="B510" s="28"/>
      <c r="C510" s="29"/>
      <c r="D510" s="30"/>
      <c r="E510" s="30"/>
      <c r="F510" s="8"/>
    </row>
    <row r="511">
      <c r="B511" s="28"/>
      <c r="C511" s="29"/>
      <c r="D511" s="30"/>
      <c r="E511" s="30"/>
      <c r="F511" s="8"/>
    </row>
    <row r="512">
      <c r="B512" s="28"/>
      <c r="C512" s="29"/>
      <c r="D512" s="30"/>
      <c r="E512" s="30"/>
      <c r="F512" s="8"/>
    </row>
    <row r="513">
      <c r="B513" s="28"/>
      <c r="C513" s="29"/>
      <c r="D513" s="30"/>
      <c r="E513" s="30"/>
      <c r="F513" s="8"/>
    </row>
    <row r="514">
      <c r="B514" s="28"/>
      <c r="C514" s="29"/>
      <c r="D514" s="30"/>
      <c r="E514" s="30"/>
      <c r="F514" s="8"/>
    </row>
    <row r="515">
      <c r="B515" s="28"/>
      <c r="C515" s="29"/>
      <c r="D515" s="30"/>
      <c r="E515" s="30"/>
      <c r="F515" s="8"/>
    </row>
    <row r="516">
      <c r="B516" s="28"/>
      <c r="C516" s="29"/>
      <c r="D516" s="30"/>
      <c r="E516" s="30"/>
      <c r="F516" s="8"/>
    </row>
    <row r="517">
      <c r="B517" s="28"/>
      <c r="C517" s="29"/>
      <c r="D517" s="30"/>
      <c r="E517" s="30"/>
      <c r="F517" s="8"/>
    </row>
    <row r="518">
      <c r="B518" s="28"/>
      <c r="C518" s="29"/>
      <c r="D518" s="30"/>
      <c r="E518" s="30"/>
      <c r="F518" s="8"/>
    </row>
    <row r="519">
      <c r="B519" s="28"/>
      <c r="C519" s="29"/>
      <c r="D519" s="30"/>
      <c r="E519" s="30"/>
      <c r="F519" s="8"/>
    </row>
    <row r="520">
      <c r="B520" s="28"/>
      <c r="C520" s="29"/>
      <c r="D520" s="30"/>
      <c r="E520" s="30"/>
      <c r="F520" s="8"/>
    </row>
    <row r="521">
      <c r="B521" s="28"/>
      <c r="C521" s="29"/>
      <c r="D521" s="30"/>
      <c r="E521" s="30"/>
      <c r="F521" s="8"/>
    </row>
    <row r="522">
      <c r="B522" s="28"/>
      <c r="C522" s="29"/>
      <c r="D522" s="30"/>
      <c r="E522" s="30"/>
      <c r="F522" s="8"/>
    </row>
    <row r="523">
      <c r="B523" s="28"/>
      <c r="C523" s="29"/>
      <c r="D523" s="30"/>
      <c r="E523" s="30"/>
      <c r="F523" s="8"/>
    </row>
    <row r="524">
      <c r="B524" s="28"/>
      <c r="C524" s="29"/>
      <c r="D524" s="30"/>
      <c r="E524" s="30"/>
      <c r="F524" s="8"/>
    </row>
    <row r="525">
      <c r="B525" s="28"/>
      <c r="C525" s="29"/>
      <c r="D525" s="30"/>
      <c r="E525" s="30"/>
      <c r="F525" s="8"/>
    </row>
    <row r="526">
      <c r="B526" s="28"/>
      <c r="C526" s="29"/>
      <c r="D526" s="30"/>
      <c r="E526" s="30"/>
      <c r="F526" s="8"/>
    </row>
    <row r="527">
      <c r="B527" s="28"/>
      <c r="C527" s="29"/>
      <c r="D527" s="30"/>
      <c r="E527" s="30"/>
      <c r="F527" s="8"/>
    </row>
    <row r="528">
      <c r="B528" s="28"/>
      <c r="C528" s="29"/>
      <c r="D528" s="30"/>
      <c r="E528" s="30"/>
      <c r="F528" s="8"/>
    </row>
    <row r="529">
      <c r="B529" s="28"/>
      <c r="C529" s="29"/>
      <c r="D529" s="30"/>
      <c r="E529" s="30"/>
      <c r="F529" s="8"/>
    </row>
    <row r="530">
      <c r="B530" s="28"/>
      <c r="C530" s="29"/>
      <c r="D530" s="30"/>
      <c r="E530" s="30"/>
      <c r="F530" s="8"/>
    </row>
    <row r="531">
      <c r="B531" s="28"/>
      <c r="C531" s="29"/>
      <c r="D531" s="30"/>
      <c r="E531" s="30"/>
      <c r="F531" s="8"/>
    </row>
    <row r="532">
      <c r="B532" s="28"/>
      <c r="C532" s="29"/>
      <c r="D532" s="30"/>
      <c r="E532" s="30"/>
      <c r="F532" s="8"/>
    </row>
    <row r="533">
      <c r="B533" s="28"/>
      <c r="C533" s="29"/>
      <c r="D533" s="30"/>
      <c r="E533" s="30"/>
      <c r="F533" s="8"/>
    </row>
    <row r="534">
      <c r="B534" s="28"/>
      <c r="C534" s="29"/>
      <c r="D534" s="30"/>
      <c r="E534" s="30"/>
      <c r="F534" s="8"/>
    </row>
    <row r="535">
      <c r="B535" s="28"/>
      <c r="C535" s="29"/>
      <c r="D535" s="30"/>
      <c r="E535" s="30"/>
      <c r="F535" s="8"/>
    </row>
    <row r="536">
      <c r="B536" s="28"/>
      <c r="C536" s="29"/>
      <c r="D536" s="30"/>
      <c r="E536" s="30"/>
      <c r="F536" s="8"/>
    </row>
    <row r="537">
      <c r="B537" s="28"/>
      <c r="C537" s="29"/>
      <c r="D537" s="30"/>
      <c r="E537" s="30"/>
      <c r="F537" s="8"/>
    </row>
    <row r="538">
      <c r="B538" s="28"/>
      <c r="C538" s="29"/>
      <c r="D538" s="30"/>
      <c r="E538" s="30"/>
      <c r="F538" s="8"/>
    </row>
    <row r="539">
      <c r="B539" s="28"/>
      <c r="C539" s="29"/>
      <c r="D539" s="30"/>
      <c r="E539" s="30"/>
      <c r="F539" s="8"/>
    </row>
    <row r="540">
      <c r="B540" s="28"/>
      <c r="C540" s="29"/>
      <c r="D540" s="30"/>
      <c r="E540" s="30"/>
      <c r="F540" s="8"/>
    </row>
    <row r="541">
      <c r="B541" s="28"/>
      <c r="C541" s="29"/>
      <c r="D541" s="30"/>
      <c r="E541" s="30"/>
      <c r="F541" s="8"/>
    </row>
    <row r="542">
      <c r="B542" s="28"/>
      <c r="C542" s="29"/>
      <c r="D542" s="30"/>
      <c r="E542" s="30"/>
      <c r="F542" s="8"/>
    </row>
    <row r="543">
      <c r="B543" s="28"/>
      <c r="C543" s="29"/>
      <c r="D543" s="30"/>
      <c r="E543" s="30"/>
      <c r="F543" s="8"/>
    </row>
    <row r="544">
      <c r="B544" s="28"/>
      <c r="C544" s="29"/>
      <c r="D544" s="30"/>
      <c r="E544" s="30"/>
      <c r="F544" s="8"/>
    </row>
    <row r="545">
      <c r="B545" s="28"/>
      <c r="C545" s="29"/>
      <c r="D545" s="30"/>
      <c r="E545" s="30"/>
      <c r="F545" s="8"/>
    </row>
    <row r="546">
      <c r="B546" s="28"/>
      <c r="C546" s="29"/>
      <c r="D546" s="30"/>
      <c r="E546" s="30"/>
      <c r="F546" s="8"/>
    </row>
    <row r="547">
      <c r="B547" s="28"/>
      <c r="C547" s="29"/>
      <c r="D547" s="30"/>
      <c r="E547" s="30"/>
      <c r="F547" s="8"/>
    </row>
    <row r="548">
      <c r="B548" s="28"/>
      <c r="C548" s="29"/>
      <c r="D548" s="30"/>
      <c r="E548" s="30"/>
      <c r="F548" s="8"/>
    </row>
    <row r="549">
      <c r="B549" s="28"/>
      <c r="C549" s="29"/>
      <c r="D549" s="30"/>
      <c r="E549" s="30"/>
      <c r="F549" s="8"/>
    </row>
    <row r="550">
      <c r="B550" s="28"/>
      <c r="C550" s="29"/>
      <c r="D550" s="30"/>
      <c r="E550" s="30"/>
      <c r="F550" s="8"/>
    </row>
    <row r="551">
      <c r="B551" s="28"/>
      <c r="C551" s="29"/>
      <c r="D551" s="30"/>
      <c r="E551" s="30"/>
      <c r="F551" s="8"/>
    </row>
    <row r="552">
      <c r="B552" s="28"/>
      <c r="C552" s="29"/>
      <c r="D552" s="30"/>
      <c r="E552" s="30"/>
      <c r="F552" s="8"/>
    </row>
    <row r="553">
      <c r="B553" s="28"/>
      <c r="C553" s="29"/>
      <c r="D553" s="30"/>
      <c r="E553" s="30"/>
      <c r="F553" s="8"/>
    </row>
    <row r="554">
      <c r="B554" s="28"/>
      <c r="C554" s="29"/>
      <c r="D554" s="30"/>
      <c r="E554" s="30"/>
      <c r="F554" s="8"/>
    </row>
    <row r="555">
      <c r="B555" s="28"/>
      <c r="C555" s="29"/>
      <c r="D555" s="30"/>
      <c r="E555" s="30"/>
      <c r="F555" s="8"/>
    </row>
    <row r="556">
      <c r="B556" s="28"/>
      <c r="C556" s="29"/>
      <c r="D556" s="30"/>
      <c r="E556" s="30"/>
      <c r="F556" s="8"/>
    </row>
    <row r="557">
      <c r="B557" s="28"/>
      <c r="C557" s="29"/>
      <c r="D557" s="30"/>
      <c r="E557" s="30"/>
      <c r="F557" s="8"/>
    </row>
    <row r="558">
      <c r="B558" s="28"/>
      <c r="C558" s="29"/>
      <c r="D558" s="30"/>
      <c r="E558" s="30"/>
      <c r="F558" s="8"/>
    </row>
    <row r="559">
      <c r="B559" s="28"/>
      <c r="C559" s="29"/>
      <c r="D559" s="30"/>
      <c r="E559" s="30"/>
      <c r="F559" s="8"/>
    </row>
    <row r="560">
      <c r="B560" s="28"/>
      <c r="C560" s="29"/>
      <c r="D560" s="30"/>
      <c r="E560" s="30"/>
      <c r="F560" s="8"/>
    </row>
    <row r="561">
      <c r="B561" s="28"/>
      <c r="C561" s="29"/>
      <c r="D561" s="30"/>
      <c r="E561" s="30"/>
      <c r="F561" s="8"/>
    </row>
    <row r="562">
      <c r="B562" s="28"/>
      <c r="C562" s="29"/>
      <c r="D562" s="30"/>
      <c r="E562" s="30"/>
      <c r="F562" s="8"/>
    </row>
    <row r="563">
      <c r="B563" s="28"/>
      <c r="C563" s="29"/>
      <c r="D563" s="30"/>
      <c r="E563" s="30"/>
      <c r="F563" s="8"/>
    </row>
    <row r="564">
      <c r="B564" s="28"/>
      <c r="C564" s="29"/>
      <c r="D564" s="30"/>
      <c r="E564" s="30"/>
      <c r="F564" s="8"/>
    </row>
    <row r="565">
      <c r="B565" s="28"/>
      <c r="C565" s="29"/>
      <c r="D565" s="30"/>
      <c r="E565" s="30"/>
      <c r="F565" s="8"/>
    </row>
    <row r="566">
      <c r="B566" s="28"/>
      <c r="C566" s="29"/>
      <c r="D566" s="30"/>
      <c r="E566" s="30"/>
      <c r="F566" s="8"/>
    </row>
    <row r="567">
      <c r="B567" s="28"/>
      <c r="C567" s="29"/>
      <c r="D567" s="30"/>
      <c r="E567" s="30"/>
      <c r="F567" s="8"/>
    </row>
    <row r="568">
      <c r="B568" s="28"/>
      <c r="C568" s="29"/>
      <c r="D568" s="30"/>
      <c r="E568" s="30"/>
      <c r="F568" s="8"/>
    </row>
    <row r="569">
      <c r="B569" s="28"/>
      <c r="C569" s="29"/>
      <c r="D569" s="30"/>
      <c r="E569" s="30"/>
      <c r="F569" s="8"/>
    </row>
    <row r="570">
      <c r="B570" s="28"/>
      <c r="C570" s="29"/>
      <c r="D570" s="30"/>
      <c r="E570" s="30"/>
      <c r="F570" s="8"/>
    </row>
    <row r="571">
      <c r="B571" s="28"/>
      <c r="C571" s="29"/>
      <c r="D571" s="30"/>
      <c r="E571" s="30"/>
      <c r="F571" s="8"/>
    </row>
    <row r="572">
      <c r="B572" s="28"/>
      <c r="C572" s="29"/>
      <c r="D572" s="30"/>
      <c r="E572" s="30"/>
      <c r="F572" s="8"/>
    </row>
    <row r="573">
      <c r="B573" s="28"/>
      <c r="C573" s="29"/>
      <c r="D573" s="30"/>
      <c r="E573" s="30"/>
      <c r="F573" s="8"/>
    </row>
    <row r="574">
      <c r="B574" s="28"/>
      <c r="C574" s="29"/>
      <c r="D574" s="30"/>
      <c r="E574" s="30"/>
      <c r="F574" s="8"/>
    </row>
    <row r="575">
      <c r="B575" s="28"/>
      <c r="C575" s="29"/>
      <c r="D575" s="30"/>
      <c r="E575" s="30"/>
      <c r="F575" s="8"/>
    </row>
    <row r="576">
      <c r="B576" s="28"/>
      <c r="C576" s="29"/>
      <c r="D576" s="30"/>
      <c r="E576" s="30"/>
      <c r="F576" s="8"/>
    </row>
    <row r="577">
      <c r="B577" s="28"/>
      <c r="C577" s="29"/>
      <c r="D577" s="30"/>
      <c r="E577" s="30"/>
      <c r="F577" s="8"/>
    </row>
    <row r="578">
      <c r="B578" s="28"/>
      <c r="C578" s="29"/>
      <c r="D578" s="30"/>
      <c r="E578" s="30"/>
      <c r="F578" s="8"/>
    </row>
    <row r="579">
      <c r="B579" s="28"/>
      <c r="C579" s="29"/>
      <c r="D579" s="30"/>
      <c r="E579" s="30"/>
      <c r="F579" s="8"/>
    </row>
    <row r="580">
      <c r="B580" s="28"/>
      <c r="C580" s="29"/>
      <c r="D580" s="30"/>
      <c r="E580" s="30"/>
      <c r="F580" s="8"/>
    </row>
    <row r="581">
      <c r="B581" s="28"/>
      <c r="C581" s="29"/>
      <c r="D581" s="30"/>
      <c r="E581" s="30"/>
      <c r="F581" s="8"/>
    </row>
    <row r="582">
      <c r="B582" s="28"/>
      <c r="C582" s="29"/>
      <c r="D582" s="30"/>
      <c r="E582" s="30"/>
      <c r="F582" s="8"/>
    </row>
    <row r="583">
      <c r="B583" s="28"/>
      <c r="C583" s="29"/>
      <c r="D583" s="30"/>
      <c r="E583" s="30"/>
      <c r="F583" s="8"/>
    </row>
    <row r="584">
      <c r="B584" s="28"/>
      <c r="C584" s="29"/>
      <c r="D584" s="30"/>
      <c r="E584" s="30"/>
      <c r="F584" s="8"/>
    </row>
    <row r="585">
      <c r="B585" s="28"/>
      <c r="C585" s="29"/>
      <c r="D585" s="30"/>
      <c r="E585" s="30"/>
      <c r="F585" s="8"/>
    </row>
    <row r="586">
      <c r="B586" s="28"/>
      <c r="C586" s="29"/>
      <c r="D586" s="30"/>
      <c r="E586" s="30"/>
      <c r="F586" s="8"/>
    </row>
    <row r="587">
      <c r="B587" s="28"/>
      <c r="C587" s="29"/>
      <c r="D587" s="30"/>
      <c r="E587" s="30"/>
      <c r="F587" s="8"/>
    </row>
    <row r="588">
      <c r="B588" s="28"/>
      <c r="C588" s="29"/>
      <c r="D588" s="30"/>
      <c r="E588" s="30"/>
      <c r="F588" s="8"/>
    </row>
    <row r="589">
      <c r="B589" s="28"/>
      <c r="C589" s="29"/>
      <c r="D589" s="30"/>
      <c r="E589" s="30"/>
      <c r="F589" s="8"/>
    </row>
    <row r="590">
      <c r="B590" s="28"/>
      <c r="C590" s="29"/>
      <c r="D590" s="30"/>
      <c r="E590" s="30"/>
      <c r="F590" s="8"/>
    </row>
    <row r="591">
      <c r="B591" s="28"/>
      <c r="C591" s="29"/>
      <c r="D591" s="30"/>
      <c r="E591" s="30"/>
      <c r="F591" s="8"/>
    </row>
    <row r="592">
      <c r="B592" s="28"/>
      <c r="C592" s="29"/>
      <c r="D592" s="30"/>
      <c r="E592" s="30"/>
      <c r="F592" s="8"/>
    </row>
    <row r="593">
      <c r="B593" s="28"/>
      <c r="C593" s="29"/>
      <c r="D593" s="30"/>
      <c r="E593" s="30"/>
      <c r="F593" s="8"/>
    </row>
    <row r="594">
      <c r="B594" s="28"/>
      <c r="C594" s="29"/>
      <c r="D594" s="30"/>
      <c r="E594" s="30"/>
      <c r="F594" s="8"/>
    </row>
    <row r="595">
      <c r="B595" s="28"/>
      <c r="C595" s="29"/>
      <c r="D595" s="30"/>
      <c r="E595" s="30"/>
      <c r="F595" s="8"/>
    </row>
    <row r="596">
      <c r="B596" s="28"/>
      <c r="C596" s="29"/>
      <c r="D596" s="30"/>
      <c r="E596" s="30"/>
      <c r="F596" s="8"/>
    </row>
    <row r="597">
      <c r="B597" s="28"/>
      <c r="C597" s="29"/>
      <c r="D597" s="30"/>
      <c r="E597" s="30"/>
      <c r="F597" s="8"/>
    </row>
    <row r="598">
      <c r="B598" s="28"/>
      <c r="C598" s="29"/>
      <c r="D598" s="30"/>
      <c r="E598" s="30"/>
      <c r="F598" s="8"/>
    </row>
    <row r="599">
      <c r="B599" s="28"/>
      <c r="C599" s="29"/>
      <c r="D599" s="30"/>
      <c r="E599" s="30"/>
      <c r="F599" s="8"/>
    </row>
    <row r="600">
      <c r="B600" s="28"/>
      <c r="C600" s="29"/>
      <c r="D600" s="30"/>
      <c r="E600" s="30"/>
      <c r="F600" s="8"/>
    </row>
    <row r="601">
      <c r="B601" s="28"/>
      <c r="C601" s="29"/>
      <c r="D601" s="30"/>
      <c r="E601" s="30"/>
      <c r="F601" s="8"/>
    </row>
    <row r="602">
      <c r="B602" s="28"/>
      <c r="C602" s="29"/>
      <c r="D602" s="30"/>
      <c r="E602" s="30"/>
      <c r="F602" s="8"/>
    </row>
    <row r="603">
      <c r="B603" s="28"/>
      <c r="C603" s="29"/>
      <c r="D603" s="30"/>
      <c r="E603" s="30"/>
      <c r="F603" s="8"/>
    </row>
    <row r="604">
      <c r="B604" s="28"/>
      <c r="C604" s="29"/>
      <c r="D604" s="30"/>
      <c r="E604" s="30"/>
      <c r="F604" s="8"/>
    </row>
    <row r="605">
      <c r="B605" s="28"/>
      <c r="C605" s="29"/>
      <c r="D605" s="30"/>
      <c r="E605" s="30"/>
      <c r="F605" s="8"/>
    </row>
    <row r="606">
      <c r="B606" s="28"/>
      <c r="C606" s="29"/>
      <c r="D606" s="30"/>
      <c r="E606" s="30"/>
      <c r="F606" s="8"/>
    </row>
    <row r="607">
      <c r="B607" s="28"/>
      <c r="C607" s="29"/>
      <c r="D607" s="30"/>
      <c r="E607" s="30"/>
      <c r="F607" s="8"/>
    </row>
    <row r="608">
      <c r="B608" s="28"/>
      <c r="C608" s="29"/>
      <c r="D608" s="30"/>
      <c r="E608" s="30"/>
      <c r="F608" s="8"/>
    </row>
    <row r="609">
      <c r="B609" s="28"/>
      <c r="C609" s="29"/>
      <c r="D609" s="30"/>
      <c r="E609" s="30"/>
      <c r="F609" s="8"/>
    </row>
    <row r="610">
      <c r="B610" s="28"/>
      <c r="C610" s="29"/>
      <c r="D610" s="30"/>
      <c r="E610" s="30"/>
      <c r="F610" s="8"/>
    </row>
    <row r="611">
      <c r="B611" s="28"/>
      <c r="C611" s="29"/>
      <c r="D611" s="30"/>
      <c r="E611" s="30"/>
      <c r="F611" s="8"/>
    </row>
    <row r="612">
      <c r="B612" s="28"/>
      <c r="C612" s="29"/>
      <c r="D612" s="30"/>
      <c r="E612" s="30"/>
      <c r="F612" s="8"/>
    </row>
    <row r="613">
      <c r="B613" s="28"/>
      <c r="C613" s="29"/>
      <c r="D613" s="30"/>
      <c r="E613" s="30"/>
      <c r="F613" s="8"/>
    </row>
    <row r="614">
      <c r="B614" s="28"/>
      <c r="C614" s="29"/>
      <c r="D614" s="30"/>
      <c r="E614" s="30"/>
      <c r="F614" s="8"/>
    </row>
    <row r="615">
      <c r="B615" s="28"/>
      <c r="C615" s="29"/>
      <c r="D615" s="30"/>
      <c r="E615" s="30"/>
      <c r="F615" s="8"/>
    </row>
    <row r="616">
      <c r="B616" s="28"/>
      <c r="C616" s="29"/>
      <c r="D616" s="30"/>
      <c r="E616" s="30"/>
      <c r="F616" s="8"/>
    </row>
    <row r="617">
      <c r="B617" s="28"/>
      <c r="C617" s="29"/>
      <c r="D617" s="30"/>
      <c r="E617" s="30"/>
      <c r="F617" s="8"/>
    </row>
    <row r="618">
      <c r="B618" s="28"/>
      <c r="C618" s="29"/>
      <c r="D618" s="30"/>
      <c r="E618" s="30"/>
      <c r="F618" s="8"/>
    </row>
    <row r="619">
      <c r="B619" s="28"/>
      <c r="C619" s="29"/>
      <c r="D619" s="30"/>
      <c r="E619" s="30"/>
      <c r="F619" s="8"/>
    </row>
    <row r="620">
      <c r="B620" s="28"/>
      <c r="C620" s="29"/>
      <c r="D620" s="30"/>
      <c r="E620" s="30"/>
      <c r="F620" s="8"/>
    </row>
    <row r="621">
      <c r="B621" s="28"/>
      <c r="C621" s="29"/>
      <c r="D621" s="30"/>
      <c r="E621" s="30"/>
      <c r="F621" s="8"/>
    </row>
    <row r="622">
      <c r="B622" s="28"/>
      <c r="C622" s="29"/>
      <c r="D622" s="30"/>
      <c r="E622" s="30"/>
      <c r="F622" s="8"/>
    </row>
    <row r="623">
      <c r="B623" s="28"/>
      <c r="C623" s="29"/>
      <c r="D623" s="30"/>
      <c r="E623" s="30"/>
      <c r="F623" s="8"/>
    </row>
    <row r="624">
      <c r="B624" s="28"/>
      <c r="C624" s="29"/>
      <c r="D624" s="30"/>
      <c r="E624" s="30"/>
      <c r="F624" s="8"/>
    </row>
    <row r="625">
      <c r="B625" s="28"/>
      <c r="C625" s="29"/>
      <c r="D625" s="30"/>
      <c r="E625" s="30"/>
      <c r="F625" s="8"/>
    </row>
    <row r="626">
      <c r="B626" s="28"/>
      <c r="C626" s="29"/>
      <c r="D626" s="30"/>
      <c r="E626" s="30"/>
      <c r="F626" s="8"/>
    </row>
    <row r="627">
      <c r="B627" s="28"/>
      <c r="C627" s="29"/>
      <c r="D627" s="30"/>
      <c r="E627" s="30"/>
      <c r="F627" s="8"/>
    </row>
    <row r="628">
      <c r="B628" s="28"/>
      <c r="C628" s="29"/>
      <c r="D628" s="30"/>
      <c r="E628" s="30"/>
      <c r="F628" s="8"/>
    </row>
    <row r="629">
      <c r="B629" s="28"/>
      <c r="C629" s="29"/>
      <c r="D629" s="30"/>
      <c r="E629" s="30"/>
      <c r="F629" s="8"/>
    </row>
    <row r="630">
      <c r="B630" s="28"/>
      <c r="C630" s="29"/>
      <c r="D630" s="30"/>
      <c r="E630" s="30"/>
      <c r="F630" s="8"/>
    </row>
    <row r="631">
      <c r="B631" s="28"/>
      <c r="C631" s="29"/>
      <c r="D631" s="30"/>
      <c r="E631" s="30"/>
      <c r="F631" s="8"/>
    </row>
    <row r="632">
      <c r="B632" s="28"/>
      <c r="C632" s="29"/>
      <c r="D632" s="30"/>
      <c r="E632" s="30"/>
      <c r="F632" s="8"/>
    </row>
    <row r="633">
      <c r="B633" s="28"/>
      <c r="C633" s="29"/>
      <c r="D633" s="30"/>
      <c r="E633" s="30"/>
      <c r="F633" s="8"/>
    </row>
    <row r="634">
      <c r="B634" s="28"/>
      <c r="C634" s="29"/>
      <c r="D634" s="30"/>
      <c r="E634" s="30"/>
      <c r="F634" s="8"/>
    </row>
    <row r="635">
      <c r="B635" s="28"/>
      <c r="C635" s="29"/>
      <c r="D635" s="30"/>
      <c r="E635" s="30"/>
      <c r="F635" s="8"/>
    </row>
    <row r="636">
      <c r="B636" s="28"/>
      <c r="C636" s="29"/>
      <c r="D636" s="30"/>
      <c r="E636" s="30"/>
      <c r="F636" s="8"/>
    </row>
    <row r="637">
      <c r="B637" s="28"/>
      <c r="C637" s="29"/>
      <c r="D637" s="30"/>
      <c r="E637" s="30"/>
      <c r="F637" s="8"/>
    </row>
    <row r="638">
      <c r="B638" s="28"/>
      <c r="C638" s="29"/>
      <c r="D638" s="30"/>
      <c r="E638" s="30"/>
      <c r="F638" s="8"/>
    </row>
    <row r="639">
      <c r="B639" s="28"/>
      <c r="C639" s="29"/>
      <c r="D639" s="30"/>
      <c r="E639" s="30"/>
      <c r="F639" s="8"/>
    </row>
    <row r="640">
      <c r="B640" s="28"/>
      <c r="C640" s="29"/>
      <c r="D640" s="30"/>
      <c r="E640" s="30"/>
      <c r="F640" s="8"/>
    </row>
    <row r="641">
      <c r="B641" s="28"/>
      <c r="C641" s="29"/>
      <c r="D641" s="30"/>
      <c r="E641" s="30"/>
      <c r="F641" s="8"/>
    </row>
    <row r="642">
      <c r="B642" s="28"/>
      <c r="C642" s="29"/>
      <c r="D642" s="30"/>
      <c r="E642" s="30"/>
      <c r="F642" s="8"/>
    </row>
    <row r="643">
      <c r="B643" s="28"/>
      <c r="C643" s="29"/>
      <c r="D643" s="30"/>
      <c r="E643" s="30"/>
      <c r="F643" s="8"/>
    </row>
    <row r="644">
      <c r="B644" s="28"/>
      <c r="C644" s="29"/>
      <c r="D644" s="30"/>
      <c r="E644" s="30"/>
      <c r="F644" s="8"/>
    </row>
    <row r="645">
      <c r="B645" s="28"/>
      <c r="C645" s="29"/>
      <c r="D645" s="30"/>
      <c r="E645" s="30"/>
      <c r="F645" s="8"/>
    </row>
    <row r="646">
      <c r="B646" s="28"/>
      <c r="C646" s="29"/>
      <c r="D646" s="30"/>
      <c r="E646" s="30"/>
      <c r="F646" s="8"/>
    </row>
    <row r="647">
      <c r="B647" s="28"/>
      <c r="C647" s="29"/>
      <c r="D647" s="30"/>
      <c r="E647" s="30"/>
      <c r="F647" s="8"/>
    </row>
    <row r="648">
      <c r="B648" s="28"/>
      <c r="C648" s="29"/>
      <c r="D648" s="30"/>
      <c r="E648" s="30"/>
      <c r="F648" s="8"/>
    </row>
    <row r="649">
      <c r="B649" s="28"/>
      <c r="C649" s="29"/>
      <c r="D649" s="30"/>
      <c r="E649" s="30"/>
      <c r="F649" s="8"/>
    </row>
    <row r="650">
      <c r="B650" s="28"/>
      <c r="C650" s="29"/>
      <c r="D650" s="30"/>
      <c r="E650" s="30"/>
      <c r="F650" s="8"/>
    </row>
    <row r="651">
      <c r="B651" s="28"/>
      <c r="C651" s="29"/>
      <c r="D651" s="30"/>
      <c r="E651" s="30"/>
      <c r="F651" s="8"/>
    </row>
    <row r="652">
      <c r="B652" s="28"/>
      <c r="C652" s="29"/>
      <c r="D652" s="30"/>
      <c r="E652" s="30"/>
      <c r="F652" s="8"/>
    </row>
    <row r="653">
      <c r="B653" s="28"/>
      <c r="C653" s="29"/>
      <c r="D653" s="30"/>
      <c r="E653" s="30"/>
      <c r="F653" s="8"/>
    </row>
    <row r="654">
      <c r="B654" s="28"/>
      <c r="C654" s="29"/>
      <c r="D654" s="30"/>
      <c r="E654" s="30"/>
      <c r="F654" s="8"/>
    </row>
    <row r="655">
      <c r="B655" s="28"/>
      <c r="C655" s="29"/>
      <c r="D655" s="30"/>
      <c r="E655" s="30"/>
      <c r="F655" s="8"/>
    </row>
    <row r="656">
      <c r="B656" s="28"/>
      <c r="C656" s="29"/>
      <c r="D656" s="30"/>
      <c r="E656" s="30"/>
      <c r="F656" s="8"/>
    </row>
    <row r="657">
      <c r="B657" s="28"/>
      <c r="C657" s="29"/>
      <c r="D657" s="30"/>
      <c r="E657" s="30"/>
      <c r="F657" s="8"/>
    </row>
    <row r="658">
      <c r="B658" s="28"/>
      <c r="C658" s="29"/>
      <c r="D658" s="30"/>
      <c r="E658" s="30"/>
      <c r="F658" s="8"/>
    </row>
    <row r="659">
      <c r="B659" s="28"/>
      <c r="C659" s="29"/>
      <c r="D659" s="30"/>
      <c r="E659" s="30"/>
      <c r="F659" s="8"/>
    </row>
    <row r="660">
      <c r="B660" s="28"/>
      <c r="C660" s="29"/>
      <c r="D660" s="30"/>
      <c r="E660" s="30"/>
      <c r="F660" s="8"/>
    </row>
    <row r="661">
      <c r="B661" s="28"/>
      <c r="C661" s="29"/>
      <c r="D661" s="30"/>
      <c r="E661" s="30"/>
      <c r="F661" s="8"/>
    </row>
    <row r="662">
      <c r="B662" s="28"/>
      <c r="C662" s="29"/>
      <c r="D662" s="30"/>
      <c r="E662" s="30"/>
      <c r="F662" s="8"/>
    </row>
    <row r="663">
      <c r="B663" s="28"/>
      <c r="C663" s="29"/>
      <c r="D663" s="30"/>
      <c r="E663" s="30"/>
      <c r="F663" s="8"/>
    </row>
    <row r="664">
      <c r="B664" s="28"/>
      <c r="C664" s="29"/>
      <c r="D664" s="30"/>
      <c r="E664" s="30"/>
      <c r="F664" s="8"/>
    </row>
    <row r="665">
      <c r="B665" s="28"/>
      <c r="C665" s="29"/>
      <c r="D665" s="30"/>
      <c r="E665" s="30"/>
      <c r="F665" s="8"/>
    </row>
    <row r="666">
      <c r="B666" s="28"/>
      <c r="C666" s="29"/>
      <c r="D666" s="30"/>
      <c r="E666" s="30"/>
      <c r="F666" s="8"/>
    </row>
    <row r="667">
      <c r="B667" s="28"/>
      <c r="C667" s="29"/>
      <c r="D667" s="30"/>
      <c r="E667" s="30"/>
      <c r="F667" s="8"/>
    </row>
    <row r="668">
      <c r="B668" s="28"/>
      <c r="C668" s="29"/>
      <c r="D668" s="30"/>
      <c r="E668" s="30"/>
      <c r="F668" s="8"/>
    </row>
    <row r="669">
      <c r="B669" s="28"/>
      <c r="C669" s="29"/>
      <c r="D669" s="30"/>
      <c r="E669" s="30"/>
      <c r="F669" s="8"/>
    </row>
    <row r="670">
      <c r="B670" s="28"/>
      <c r="C670" s="29"/>
      <c r="D670" s="30"/>
      <c r="E670" s="30"/>
      <c r="F670" s="8"/>
    </row>
    <row r="671">
      <c r="B671" s="28"/>
      <c r="C671" s="29"/>
      <c r="D671" s="30"/>
      <c r="E671" s="30"/>
      <c r="F671" s="8"/>
    </row>
    <row r="672">
      <c r="B672" s="28"/>
      <c r="C672" s="29"/>
      <c r="D672" s="30"/>
      <c r="E672" s="30"/>
      <c r="F672" s="8"/>
    </row>
    <row r="673">
      <c r="B673" s="28"/>
      <c r="C673" s="29"/>
      <c r="D673" s="30"/>
      <c r="E673" s="30"/>
      <c r="F673" s="8"/>
    </row>
    <row r="674">
      <c r="B674" s="28"/>
      <c r="C674" s="29"/>
      <c r="D674" s="30"/>
      <c r="E674" s="30"/>
      <c r="F674" s="8"/>
    </row>
    <row r="675">
      <c r="B675" s="28"/>
      <c r="C675" s="29"/>
      <c r="D675" s="30"/>
      <c r="E675" s="30"/>
      <c r="F675" s="8"/>
    </row>
    <row r="676">
      <c r="B676" s="28"/>
      <c r="C676" s="29"/>
      <c r="D676" s="30"/>
      <c r="E676" s="30"/>
      <c r="F676" s="8"/>
    </row>
    <row r="677">
      <c r="B677" s="28"/>
      <c r="C677" s="29"/>
      <c r="D677" s="30"/>
      <c r="E677" s="30"/>
      <c r="F677" s="8"/>
    </row>
    <row r="678">
      <c r="B678" s="28"/>
      <c r="C678" s="29"/>
      <c r="D678" s="30"/>
      <c r="E678" s="30"/>
      <c r="F678" s="8"/>
    </row>
    <row r="679">
      <c r="B679" s="28"/>
      <c r="C679" s="29"/>
      <c r="D679" s="30"/>
      <c r="E679" s="30"/>
      <c r="F679" s="8"/>
    </row>
    <row r="680">
      <c r="B680" s="28"/>
      <c r="C680" s="29"/>
      <c r="D680" s="30"/>
      <c r="E680" s="30"/>
      <c r="F680" s="8"/>
    </row>
    <row r="681">
      <c r="B681" s="28"/>
      <c r="C681" s="29"/>
      <c r="D681" s="30"/>
      <c r="E681" s="30"/>
      <c r="F681" s="8"/>
    </row>
    <row r="682">
      <c r="B682" s="28"/>
      <c r="C682" s="29"/>
      <c r="D682" s="30"/>
      <c r="E682" s="30"/>
      <c r="F682" s="8"/>
    </row>
    <row r="683">
      <c r="B683" s="28"/>
      <c r="C683" s="29"/>
      <c r="D683" s="30"/>
      <c r="E683" s="30"/>
      <c r="F683" s="8"/>
    </row>
    <row r="684">
      <c r="B684" s="28"/>
      <c r="C684" s="29"/>
      <c r="D684" s="30"/>
      <c r="E684" s="30"/>
      <c r="F684" s="8"/>
    </row>
    <row r="685">
      <c r="B685" s="28"/>
      <c r="C685" s="29"/>
      <c r="D685" s="30"/>
      <c r="E685" s="30"/>
      <c r="F685" s="8"/>
    </row>
    <row r="686">
      <c r="B686" s="28"/>
      <c r="C686" s="29"/>
      <c r="D686" s="30"/>
      <c r="E686" s="30"/>
      <c r="F686" s="8"/>
    </row>
    <row r="687">
      <c r="B687" s="28"/>
      <c r="C687" s="29"/>
      <c r="D687" s="30"/>
      <c r="E687" s="30"/>
      <c r="F687" s="8"/>
    </row>
    <row r="688">
      <c r="B688" s="28"/>
      <c r="C688" s="29"/>
      <c r="D688" s="30"/>
      <c r="E688" s="30"/>
      <c r="F688" s="8"/>
    </row>
    <row r="689">
      <c r="B689" s="28"/>
      <c r="C689" s="29"/>
      <c r="D689" s="30"/>
      <c r="E689" s="30"/>
      <c r="F689" s="8"/>
    </row>
    <row r="690">
      <c r="B690" s="28"/>
      <c r="C690" s="29"/>
      <c r="D690" s="30"/>
      <c r="E690" s="30"/>
      <c r="F690" s="8"/>
    </row>
    <row r="691">
      <c r="B691" s="28"/>
      <c r="C691" s="29"/>
      <c r="D691" s="30"/>
      <c r="E691" s="30"/>
      <c r="F691" s="8"/>
    </row>
    <row r="692">
      <c r="B692" s="28"/>
      <c r="C692" s="29"/>
      <c r="D692" s="30"/>
      <c r="E692" s="30"/>
      <c r="F692" s="8"/>
    </row>
    <row r="693">
      <c r="B693" s="28"/>
      <c r="C693" s="29"/>
      <c r="D693" s="30"/>
      <c r="E693" s="30"/>
      <c r="F693" s="8"/>
    </row>
    <row r="694">
      <c r="B694" s="28"/>
      <c r="C694" s="29"/>
      <c r="D694" s="30"/>
      <c r="E694" s="30"/>
      <c r="F694" s="8"/>
    </row>
    <row r="695">
      <c r="B695" s="28"/>
      <c r="C695" s="29"/>
      <c r="D695" s="30"/>
      <c r="E695" s="30"/>
      <c r="F695" s="8"/>
    </row>
    <row r="696">
      <c r="B696" s="28"/>
      <c r="C696" s="29"/>
      <c r="D696" s="30"/>
      <c r="E696" s="30"/>
      <c r="F696" s="8"/>
    </row>
    <row r="697">
      <c r="B697" s="28"/>
      <c r="C697" s="29"/>
      <c r="D697" s="30"/>
      <c r="E697" s="30"/>
      <c r="F697" s="8"/>
    </row>
    <row r="698">
      <c r="B698" s="28"/>
      <c r="C698" s="29"/>
      <c r="D698" s="30"/>
      <c r="E698" s="30"/>
      <c r="F698" s="8"/>
    </row>
    <row r="699">
      <c r="B699" s="28"/>
      <c r="C699" s="29"/>
      <c r="D699" s="30"/>
      <c r="E699" s="30"/>
      <c r="F699" s="8"/>
    </row>
    <row r="700">
      <c r="B700" s="28"/>
      <c r="C700" s="29"/>
      <c r="D700" s="30"/>
      <c r="E700" s="30"/>
      <c r="F700" s="8"/>
    </row>
    <row r="701">
      <c r="B701" s="28"/>
      <c r="C701" s="29"/>
      <c r="D701" s="30"/>
      <c r="E701" s="30"/>
      <c r="F701" s="8"/>
    </row>
    <row r="702">
      <c r="B702" s="28"/>
      <c r="C702" s="29"/>
      <c r="D702" s="30"/>
      <c r="E702" s="30"/>
      <c r="F702" s="8"/>
    </row>
    <row r="703">
      <c r="B703" s="28"/>
      <c r="C703" s="29"/>
      <c r="D703" s="30"/>
      <c r="E703" s="30"/>
      <c r="F703" s="8"/>
    </row>
    <row r="704">
      <c r="B704" s="28"/>
      <c r="C704" s="29"/>
      <c r="D704" s="30"/>
      <c r="E704" s="30"/>
      <c r="F704" s="8"/>
    </row>
    <row r="705">
      <c r="B705" s="28"/>
      <c r="C705" s="29"/>
      <c r="D705" s="30"/>
      <c r="E705" s="30"/>
      <c r="F705" s="8"/>
    </row>
    <row r="706">
      <c r="B706" s="28"/>
      <c r="C706" s="29"/>
      <c r="D706" s="30"/>
      <c r="E706" s="30"/>
      <c r="F706" s="8"/>
    </row>
    <row r="707">
      <c r="B707" s="28"/>
      <c r="C707" s="29"/>
      <c r="D707" s="30"/>
      <c r="E707" s="30"/>
      <c r="F707" s="8"/>
    </row>
    <row r="708">
      <c r="B708" s="28"/>
      <c r="C708" s="29"/>
      <c r="D708" s="30"/>
      <c r="E708" s="30"/>
      <c r="F708" s="8"/>
    </row>
    <row r="709">
      <c r="B709" s="28"/>
      <c r="C709" s="29"/>
      <c r="D709" s="30"/>
      <c r="E709" s="30"/>
      <c r="F709" s="8"/>
    </row>
    <row r="710">
      <c r="B710" s="28"/>
      <c r="C710" s="29"/>
      <c r="D710" s="30"/>
      <c r="E710" s="30"/>
      <c r="F710" s="8"/>
    </row>
    <row r="711">
      <c r="B711" s="28"/>
      <c r="C711" s="29"/>
      <c r="D711" s="30"/>
      <c r="E711" s="30"/>
      <c r="F711" s="8"/>
    </row>
    <row r="712">
      <c r="B712" s="28"/>
      <c r="C712" s="29"/>
      <c r="D712" s="30"/>
      <c r="E712" s="30"/>
      <c r="F712" s="8"/>
    </row>
    <row r="713">
      <c r="B713" s="28"/>
      <c r="C713" s="29"/>
      <c r="D713" s="30"/>
      <c r="E713" s="30"/>
      <c r="F713" s="8"/>
    </row>
    <row r="714">
      <c r="B714" s="28"/>
      <c r="C714" s="29"/>
      <c r="D714" s="30"/>
      <c r="E714" s="30"/>
      <c r="F714" s="8"/>
    </row>
    <row r="715">
      <c r="B715" s="28"/>
      <c r="C715" s="29"/>
      <c r="D715" s="30"/>
      <c r="E715" s="30"/>
      <c r="F715" s="8"/>
    </row>
    <row r="716">
      <c r="B716" s="28"/>
      <c r="C716" s="29"/>
      <c r="D716" s="30"/>
      <c r="E716" s="30"/>
      <c r="F716" s="8"/>
    </row>
    <row r="717">
      <c r="B717" s="28"/>
      <c r="C717" s="29"/>
      <c r="D717" s="30"/>
      <c r="E717" s="30"/>
      <c r="F717" s="8"/>
    </row>
    <row r="718">
      <c r="B718" s="28"/>
      <c r="C718" s="29"/>
      <c r="D718" s="30"/>
      <c r="E718" s="30"/>
      <c r="F718" s="8"/>
    </row>
    <row r="719">
      <c r="B719" s="28"/>
      <c r="C719" s="29"/>
      <c r="D719" s="30"/>
      <c r="E719" s="30"/>
      <c r="F719" s="8"/>
    </row>
    <row r="720">
      <c r="B720" s="28"/>
      <c r="C720" s="29"/>
      <c r="D720" s="30"/>
      <c r="E720" s="30"/>
      <c r="F720" s="8"/>
    </row>
    <row r="721">
      <c r="B721" s="28"/>
      <c r="C721" s="29"/>
      <c r="D721" s="30"/>
      <c r="E721" s="30"/>
      <c r="F721" s="8"/>
    </row>
    <row r="722">
      <c r="B722" s="28"/>
      <c r="C722" s="29"/>
      <c r="D722" s="30"/>
      <c r="E722" s="30"/>
      <c r="F722" s="8"/>
    </row>
    <row r="723">
      <c r="B723" s="28"/>
      <c r="C723" s="29"/>
      <c r="D723" s="30"/>
      <c r="E723" s="30"/>
      <c r="F723" s="8"/>
    </row>
    <row r="724">
      <c r="B724" s="28"/>
      <c r="C724" s="29"/>
      <c r="D724" s="30"/>
      <c r="E724" s="30"/>
      <c r="F724" s="8"/>
    </row>
    <row r="725">
      <c r="B725" s="28"/>
      <c r="C725" s="29"/>
      <c r="D725" s="30"/>
      <c r="E725" s="30"/>
      <c r="F725" s="8"/>
    </row>
    <row r="726">
      <c r="B726" s="28"/>
      <c r="C726" s="29"/>
      <c r="D726" s="30"/>
      <c r="E726" s="30"/>
      <c r="F726" s="8"/>
    </row>
    <row r="727">
      <c r="B727" s="28"/>
      <c r="C727" s="29"/>
      <c r="D727" s="30"/>
      <c r="E727" s="30"/>
      <c r="F727" s="8"/>
    </row>
    <row r="728">
      <c r="B728" s="28"/>
      <c r="C728" s="29"/>
      <c r="D728" s="30"/>
      <c r="E728" s="30"/>
      <c r="F728" s="8"/>
    </row>
    <row r="729">
      <c r="B729" s="28"/>
      <c r="C729" s="29"/>
      <c r="D729" s="30"/>
      <c r="E729" s="30"/>
      <c r="F729" s="8"/>
    </row>
    <row r="730">
      <c r="B730" s="28"/>
      <c r="C730" s="29"/>
      <c r="D730" s="30"/>
      <c r="E730" s="30"/>
      <c r="F730" s="8"/>
    </row>
    <row r="731">
      <c r="B731" s="28"/>
      <c r="C731" s="29"/>
      <c r="D731" s="30"/>
      <c r="E731" s="30"/>
      <c r="F731" s="8"/>
    </row>
    <row r="732">
      <c r="B732" s="28"/>
      <c r="C732" s="29"/>
      <c r="D732" s="30"/>
      <c r="E732" s="30"/>
      <c r="F732" s="8"/>
    </row>
    <row r="733">
      <c r="B733" s="28"/>
      <c r="C733" s="29"/>
      <c r="D733" s="30"/>
      <c r="E733" s="30"/>
      <c r="F733" s="8"/>
    </row>
    <row r="734">
      <c r="B734" s="28"/>
      <c r="C734" s="29"/>
      <c r="D734" s="30"/>
      <c r="E734" s="30"/>
      <c r="F734" s="8"/>
    </row>
    <row r="735">
      <c r="B735" s="28"/>
      <c r="C735" s="29"/>
      <c r="D735" s="30"/>
      <c r="E735" s="30"/>
      <c r="F735" s="8"/>
    </row>
    <row r="736">
      <c r="B736" s="28"/>
      <c r="C736" s="29"/>
      <c r="D736" s="30"/>
      <c r="E736" s="30"/>
      <c r="F736" s="8"/>
    </row>
    <row r="737">
      <c r="B737" s="28"/>
      <c r="C737" s="29"/>
      <c r="D737" s="30"/>
      <c r="E737" s="30"/>
      <c r="F737" s="8"/>
    </row>
    <row r="738">
      <c r="B738" s="28"/>
      <c r="C738" s="29"/>
      <c r="D738" s="30"/>
      <c r="E738" s="30"/>
      <c r="F738" s="8"/>
    </row>
    <row r="739">
      <c r="B739" s="28"/>
      <c r="C739" s="29"/>
      <c r="D739" s="30"/>
      <c r="E739" s="30"/>
      <c r="F739" s="8"/>
    </row>
    <row r="740">
      <c r="B740" s="28"/>
      <c r="C740" s="29"/>
      <c r="D740" s="30"/>
      <c r="E740" s="30"/>
      <c r="F740" s="8"/>
    </row>
    <row r="741">
      <c r="B741" s="28"/>
      <c r="C741" s="29"/>
      <c r="D741" s="30"/>
      <c r="E741" s="30"/>
      <c r="F741" s="8"/>
    </row>
    <row r="742">
      <c r="B742" s="28"/>
      <c r="C742" s="29"/>
      <c r="D742" s="30"/>
      <c r="E742" s="30"/>
      <c r="F742" s="8"/>
    </row>
    <row r="743">
      <c r="B743" s="28"/>
      <c r="C743" s="29"/>
      <c r="D743" s="30"/>
      <c r="E743" s="30"/>
      <c r="F743" s="8"/>
    </row>
    <row r="744">
      <c r="B744" s="28"/>
      <c r="C744" s="29"/>
      <c r="D744" s="30"/>
      <c r="E744" s="30"/>
      <c r="F744" s="8"/>
    </row>
    <row r="745">
      <c r="B745" s="28"/>
      <c r="C745" s="29"/>
      <c r="D745" s="30"/>
      <c r="E745" s="30"/>
      <c r="F745" s="8"/>
    </row>
    <row r="746">
      <c r="B746" s="28"/>
      <c r="C746" s="29"/>
      <c r="D746" s="30"/>
      <c r="E746" s="30"/>
      <c r="F746" s="8"/>
    </row>
    <row r="747">
      <c r="B747" s="28"/>
      <c r="C747" s="29"/>
      <c r="D747" s="30"/>
      <c r="E747" s="30"/>
      <c r="F747" s="8"/>
    </row>
    <row r="748">
      <c r="B748" s="28"/>
      <c r="C748" s="29"/>
      <c r="D748" s="30"/>
      <c r="E748" s="30"/>
      <c r="F748" s="8"/>
    </row>
    <row r="749">
      <c r="B749" s="28"/>
      <c r="C749" s="29"/>
      <c r="D749" s="30"/>
      <c r="E749" s="30"/>
      <c r="F749" s="8"/>
    </row>
    <row r="750">
      <c r="B750" s="28"/>
      <c r="C750" s="29"/>
      <c r="D750" s="30"/>
      <c r="E750" s="30"/>
      <c r="F750" s="8"/>
    </row>
    <row r="751">
      <c r="B751" s="28"/>
      <c r="C751" s="29"/>
      <c r="D751" s="30"/>
      <c r="E751" s="30"/>
      <c r="F751" s="8"/>
    </row>
    <row r="752">
      <c r="B752" s="28"/>
      <c r="C752" s="29"/>
      <c r="D752" s="30"/>
      <c r="E752" s="30"/>
      <c r="F752" s="8"/>
    </row>
    <row r="753">
      <c r="B753" s="28"/>
      <c r="C753" s="29"/>
      <c r="D753" s="30"/>
      <c r="E753" s="30"/>
      <c r="F753" s="8"/>
    </row>
    <row r="754">
      <c r="B754" s="28"/>
      <c r="C754" s="29"/>
      <c r="D754" s="30"/>
      <c r="E754" s="30"/>
      <c r="F754" s="8"/>
    </row>
    <row r="755">
      <c r="B755" s="28"/>
      <c r="C755" s="29"/>
      <c r="D755" s="30"/>
      <c r="E755" s="30"/>
      <c r="F755" s="8"/>
    </row>
    <row r="756">
      <c r="B756" s="28"/>
      <c r="C756" s="29"/>
      <c r="D756" s="30"/>
      <c r="E756" s="30"/>
      <c r="F756" s="8"/>
    </row>
    <row r="757">
      <c r="B757" s="28"/>
      <c r="C757" s="29"/>
      <c r="D757" s="30"/>
      <c r="E757" s="30"/>
      <c r="F757" s="8"/>
    </row>
    <row r="758">
      <c r="B758" s="28"/>
      <c r="C758" s="29"/>
      <c r="D758" s="30"/>
      <c r="E758" s="30"/>
      <c r="F758" s="8"/>
    </row>
    <row r="759">
      <c r="B759" s="28"/>
      <c r="C759" s="29"/>
      <c r="D759" s="30"/>
      <c r="E759" s="30"/>
      <c r="F759" s="8"/>
    </row>
    <row r="760">
      <c r="B760" s="28"/>
      <c r="C760" s="29"/>
      <c r="D760" s="30"/>
      <c r="E760" s="30"/>
      <c r="F760" s="8"/>
    </row>
    <row r="761">
      <c r="B761" s="28"/>
      <c r="C761" s="29"/>
      <c r="D761" s="30"/>
      <c r="E761" s="30"/>
      <c r="F761" s="8"/>
    </row>
    <row r="762">
      <c r="B762" s="28"/>
      <c r="C762" s="29"/>
      <c r="D762" s="30"/>
      <c r="E762" s="30"/>
      <c r="F762" s="8"/>
    </row>
    <row r="763">
      <c r="B763" s="28"/>
      <c r="C763" s="29"/>
      <c r="D763" s="30"/>
      <c r="E763" s="30"/>
      <c r="F763" s="8"/>
    </row>
    <row r="764">
      <c r="B764" s="28"/>
      <c r="C764" s="29"/>
      <c r="D764" s="30"/>
      <c r="E764" s="30"/>
      <c r="F764" s="8"/>
    </row>
    <row r="765">
      <c r="B765" s="28"/>
      <c r="C765" s="29"/>
      <c r="D765" s="30"/>
      <c r="E765" s="30"/>
      <c r="F765" s="8"/>
    </row>
    <row r="766">
      <c r="B766" s="28"/>
      <c r="C766" s="29"/>
      <c r="D766" s="30"/>
      <c r="E766" s="30"/>
      <c r="F766" s="8"/>
    </row>
    <row r="767">
      <c r="B767" s="28"/>
      <c r="C767" s="29"/>
      <c r="D767" s="30"/>
      <c r="E767" s="30"/>
      <c r="F767" s="8"/>
    </row>
    <row r="768">
      <c r="B768" s="28"/>
      <c r="C768" s="29"/>
      <c r="D768" s="30"/>
      <c r="E768" s="30"/>
      <c r="F768" s="8"/>
    </row>
    <row r="769">
      <c r="B769" s="28"/>
      <c r="C769" s="29"/>
      <c r="D769" s="30"/>
      <c r="E769" s="30"/>
      <c r="F769" s="8"/>
    </row>
    <row r="770">
      <c r="B770" s="28"/>
      <c r="C770" s="29"/>
      <c r="D770" s="30"/>
      <c r="E770" s="30"/>
      <c r="F770" s="8"/>
    </row>
    <row r="771">
      <c r="B771" s="28"/>
      <c r="C771" s="29"/>
      <c r="D771" s="30"/>
      <c r="E771" s="30"/>
      <c r="F771" s="8"/>
    </row>
    <row r="772">
      <c r="B772" s="28"/>
      <c r="C772" s="29"/>
      <c r="D772" s="30"/>
      <c r="E772" s="30"/>
      <c r="F772" s="8"/>
    </row>
    <row r="773">
      <c r="B773" s="28"/>
      <c r="C773" s="29"/>
      <c r="D773" s="30"/>
      <c r="E773" s="30"/>
      <c r="F773" s="8"/>
    </row>
    <row r="774">
      <c r="B774" s="28"/>
      <c r="C774" s="29"/>
      <c r="D774" s="30"/>
      <c r="E774" s="30"/>
      <c r="F774" s="8"/>
    </row>
    <row r="775">
      <c r="B775" s="28"/>
      <c r="C775" s="29"/>
      <c r="D775" s="30"/>
      <c r="E775" s="30"/>
      <c r="F775" s="8"/>
    </row>
    <row r="776">
      <c r="B776" s="28"/>
      <c r="C776" s="29"/>
      <c r="D776" s="30"/>
      <c r="E776" s="30"/>
      <c r="F776" s="8"/>
    </row>
    <row r="777">
      <c r="B777" s="28"/>
      <c r="C777" s="29"/>
      <c r="D777" s="30"/>
      <c r="E777" s="30"/>
      <c r="F777" s="8"/>
    </row>
    <row r="778">
      <c r="B778" s="28"/>
      <c r="C778" s="29"/>
      <c r="D778" s="30"/>
      <c r="E778" s="30"/>
      <c r="F778" s="8"/>
    </row>
    <row r="779">
      <c r="B779" s="28"/>
      <c r="C779" s="29"/>
      <c r="D779" s="30"/>
      <c r="E779" s="30"/>
      <c r="F779" s="8"/>
    </row>
    <row r="780">
      <c r="B780" s="28"/>
      <c r="C780" s="29"/>
      <c r="D780" s="30"/>
      <c r="E780" s="30"/>
      <c r="F780" s="8"/>
    </row>
    <row r="781">
      <c r="B781" s="28"/>
      <c r="C781" s="29"/>
      <c r="D781" s="30"/>
      <c r="E781" s="30"/>
      <c r="F781" s="8"/>
    </row>
    <row r="782">
      <c r="B782" s="28"/>
      <c r="C782" s="29"/>
      <c r="D782" s="30"/>
      <c r="E782" s="30"/>
      <c r="F782" s="8"/>
    </row>
    <row r="783">
      <c r="B783" s="28"/>
      <c r="C783" s="29"/>
      <c r="D783" s="30"/>
      <c r="E783" s="30"/>
      <c r="F783" s="8"/>
    </row>
    <row r="784">
      <c r="B784" s="28"/>
      <c r="C784" s="29"/>
      <c r="D784" s="30"/>
      <c r="E784" s="30"/>
      <c r="F784" s="8"/>
    </row>
    <row r="785">
      <c r="B785" s="28"/>
      <c r="C785" s="29"/>
      <c r="D785" s="30"/>
      <c r="E785" s="30"/>
      <c r="F785" s="8"/>
    </row>
    <row r="786">
      <c r="B786" s="28"/>
      <c r="C786" s="29"/>
      <c r="D786" s="30"/>
      <c r="E786" s="30"/>
      <c r="F786" s="8"/>
    </row>
    <row r="787">
      <c r="B787" s="28"/>
      <c r="C787" s="29"/>
      <c r="D787" s="30"/>
      <c r="E787" s="30"/>
      <c r="F787" s="8"/>
    </row>
    <row r="788">
      <c r="B788" s="28"/>
      <c r="C788" s="29"/>
      <c r="D788" s="30"/>
      <c r="E788" s="30"/>
      <c r="F788" s="8"/>
    </row>
    <row r="789">
      <c r="B789" s="28"/>
      <c r="C789" s="29"/>
      <c r="D789" s="30"/>
      <c r="E789" s="30"/>
      <c r="F789" s="8"/>
    </row>
    <row r="790">
      <c r="B790" s="28"/>
      <c r="C790" s="29"/>
      <c r="D790" s="30"/>
      <c r="E790" s="30"/>
      <c r="F790" s="8"/>
    </row>
    <row r="791">
      <c r="B791" s="28"/>
      <c r="C791" s="29"/>
      <c r="D791" s="30"/>
      <c r="E791" s="30"/>
      <c r="F791" s="8"/>
    </row>
    <row r="792">
      <c r="B792" s="28"/>
      <c r="C792" s="29"/>
      <c r="D792" s="30"/>
      <c r="E792" s="30"/>
      <c r="F792" s="8"/>
    </row>
    <row r="793">
      <c r="B793" s="28"/>
      <c r="C793" s="29"/>
      <c r="D793" s="30"/>
      <c r="E793" s="30"/>
      <c r="F793" s="8"/>
    </row>
    <row r="794">
      <c r="B794" s="28"/>
      <c r="C794" s="29"/>
      <c r="D794" s="30"/>
      <c r="E794" s="30"/>
      <c r="F794" s="8"/>
    </row>
    <row r="795">
      <c r="B795" s="28"/>
      <c r="C795" s="29"/>
      <c r="D795" s="30"/>
      <c r="E795" s="30"/>
      <c r="F795" s="8"/>
    </row>
    <row r="796">
      <c r="B796" s="28"/>
      <c r="C796" s="29"/>
      <c r="D796" s="30"/>
      <c r="E796" s="30"/>
      <c r="F796" s="8"/>
    </row>
    <row r="797">
      <c r="B797" s="28"/>
      <c r="C797" s="29"/>
      <c r="D797" s="30"/>
      <c r="E797" s="30"/>
      <c r="F797" s="8"/>
    </row>
    <row r="798">
      <c r="B798" s="28"/>
      <c r="C798" s="29"/>
      <c r="D798" s="30"/>
      <c r="E798" s="30"/>
      <c r="F798" s="8"/>
    </row>
    <row r="799">
      <c r="B799" s="28"/>
      <c r="C799" s="29"/>
      <c r="D799" s="30"/>
      <c r="E799" s="30"/>
      <c r="F799" s="8"/>
    </row>
    <row r="800">
      <c r="B800" s="28"/>
      <c r="C800" s="29"/>
      <c r="D800" s="30"/>
      <c r="E800" s="30"/>
      <c r="F800" s="8"/>
    </row>
    <row r="801">
      <c r="B801" s="28"/>
      <c r="C801" s="29"/>
      <c r="D801" s="30"/>
      <c r="E801" s="30"/>
      <c r="F801" s="8"/>
    </row>
    <row r="802">
      <c r="B802" s="28"/>
      <c r="C802" s="29"/>
      <c r="D802" s="30"/>
      <c r="E802" s="30"/>
      <c r="F802" s="8"/>
    </row>
    <row r="803">
      <c r="B803" s="28"/>
      <c r="C803" s="29"/>
      <c r="D803" s="30"/>
      <c r="E803" s="30"/>
      <c r="F803" s="8"/>
    </row>
    <row r="804">
      <c r="B804" s="28"/>
      <c r="C804" s="29"/>
      <c r="D804" s="30"/>
      <c r="E804" s="30"/>
      <c r="F804" s="8"/>
    </row>
    <row r="805">
      <c r="B805" s="28"/>
      <c r="C805" s="29"/>
      <c r="D805" s="30"/>
      <c r="E805" s="30"/>
      <c r="F805" s="8"/>
    </row>
    <row r="806">
      <c r="B806" s="28"/>
      <c r="C806" s="29"/>
      <c r="D806" s="30"/>
      <c r="E806" s="30"/>
      <c r="F806" s="8"/>
    </row>
    <row r="807">
      <c r="B807" s="28"/>
      <c r="C807" s="29"/>
      <c r="D807" s="30"/>
      <c r="E807" s="30"/>
      <c r="F807" s="8"/>
    </row>
    <row r="808">
      <c r="B808" s="28"/>
      <c r="C808" s="29"/>
      <c r="D808" s="30"/>
      <c r="E808" s="30"/>
      <c r="F808" s="8"/>
    </row>
    <row r="809">
      <c r="B809" s="28"/>
      <c r="C809" s="29"/>
      <c r="D809" s="30"/>
      <c r="E809" s="30"/>
      <c r="F809" s="8"/>
    </row>
    <row r="810">
      <c r="B810" s="28"/>
      <c r="C810" s="29"/>
      <c r="D810" s="30"/>
      <c r="E810" s="30"/>
      <c r="F810" s="8"/>
    </row>
    <row r="811">
      <c r="B811" s="28"/>
      <c r="C811" s="29"/>
      <c r="D811" s="30"/>
      <c r="E811" s="30"/>
      <c r="F811" s="8"/>
    </row>
    <row r="812">
      <c r="B812" s="28"/>
      <c r="C812" s="29"/>
      <c r="D812" s="30"/>
      <c r="E812" s="30"/>
      <c r="F812" s="8"/>
    </row>
    <row r="813">
      <c r="B813" s="28"/>
      <c r="C813" s="29"/>
      <c r="D813" s="30"/>
      <c r="E813" s="30"/>
      <c r="F813" s="8"/>
    </row>
    <row r="814">
      <c r="B814" s="28"/>
      <c r="C814" s="29"/>
      <c r="D814" s="30"/>
      <c r="E814" s="30"/>
      <c r="F814" s="8"/>
    </row>
    <row r="815">
      <c r="B815" s="28"/>
      <c r="C815" s="29"/>
      <c r="D815" s="30"/>
      <c r="E815" s="30"/>
      <c r="F815" s="8"/>
    </row>
    <row r="816">
      <c r="B816" s="28"/>
      <c r="C816" s="29"/>
      <c r="D816" s="30"/>
      <c r="E816" s="30"/>
      <c r="F816" s="8"/>
    </row>
    <row r="817">
      <c r="B817" s="28"/>
      <c r="C817" s="29"/>
      <c r="D817" s="30"/>
      <c r="E817" s="30"/>
      <c r="F817" s="8"/>
    </row>
    <row r="818">
      <c r="B818" s="28"/>
      <c r="C818" s="29"/>
      <c r="D818" s="30"/>
      <c r="E818" s="30"/>
      <c r="F818" s="8"/>
    </row>
    <row r="819">
      <c r="B819" s="28"/>
      <c r="C819" s="29"/>
      <c r="D819" s="30"/>
      <c r="E819" s="30"/>
      <c r="F819" s="8"/>
    </row>
    <row r="820">
      <c r="B820" s="28"/>
      <c r="C820" s="29"/>
      <c r="D820" s="30"/>
      <c r="E820" s="30"/>
      <c r="F820" s="8"/>
    </row>
    <row r="821">
      <c r="B821" s="28"/>
      <c r="C821" s="29"/>
      <c r="D821" s="30"/>
      <c r="E821" s="30"/>
      <c r="F821" s="8"/>
    </row>
    <row r="822">
      <c r="B822" s="28"/>
      <c r="C822" s="29"/>
      <c r="D822" s="30"/>
      <c r="E822" s="30"/>
      <c r="F822" s="8"/>
    </row>
    <row r="823">
      <c r="B823" s="28"/>
      <c r="C823" s="29"/>
      <c r="D823" s="30"/>
      <c r="E823" s="30"/>
      <c r="F823" s="8"/>
    </row>
    <row r="824">
      <c r="B824" s="28"/>
      <c r="C824" s="29"/>
      <c r="D824" s="30"/>
      <c r="E824" s="30"/>
      <c r="F824" s="8"/>
    </row>
    <row r="825">
      <c r="B825" s="28"/>
      <c r="C825" s="29"/>
      <c r="D825" s="30"/>
      <c r="E825" s="30"/>
      <c r="F825" s="8"/>
    </row>
    <row r="826">
      <c r="B826" s="28"/>
      <c r="C826" s="29"/>
      <c r="D826" s="30"/>
      <c r="E826" s="30"/>
      <c r="F826" s="8"/>
    </row>
    <row r="827">
      <c r="B827" s="28"/>
      <c r="C827" s="29"/>
      <c r="D827" s="30"/>
      <c r="E827" s="30"/>
      <c r="F827" s="8"/>
    </row>
    <row r="828">
      <c r="B828" s="28"/>
      <c r="C828" s="29"/>
      <c r="D828" s="30"/>
      <c r="E828" s="30"/>
      <c r="F828" s="8"/>
    </row>
    <row r="829">
      <c r="B829" s="28"/>
      <c r="C829" s="29"/>
      <c r="D829" s="30"/>
      <c r="E829" s="30"/>
      <c r="F829" s="8"/>
    </row>
    <row r="830">
      <c r="B830" s="28"/>
      <c r="C830" s="29"/>
      <c r="D830" s="30"/>
      <c r="E830" s="30"/>
      <c r="F830" s="8"/>
    </row>
    <row r="831">
      <c r="B831" s="28"/>
      <c r="C831" s="29"/>
      <c r="D831" s="30"/>
      <c r="E831" s="30"/>
      <c r="F831" s="8"/>
    </row>
    <row r="832">
      <c r="B832" s="28"/>
      <c r="C832" s="29"/>
      <c r="D832" s="30"/>
      <c r="E832" s="30"/>
      <c r="F832" s="8"/>
    </row>
    <row r="833">
      <c r="B833" s="28"/>
      <c r="C833" s="29"/>
      <c r="D833" s="30"/>
      <c r="E833" s="30"/>
      <c r="F833" s="8"/>
    </row>
    <row r="834">
      <c r="B834" s="28"/>
      <c r="C834" s="29"/>
      <c r="D834" s="30"/>
      <c r="E834" s="30"/>
      <c r="F834" s="8"/>
    </row>
    <row r="835">
      <c r="B835" s="28"/>
      <c r="C835" s="29"/>
      <c r="D835" s="30"/>
      <c r="E835" s="30"/>
      <c r="F835" s="8"/>
    </row>
    <row r="836">
      <c r="B836" s="28"/>
      <c r="C836" s="29"/>
      <c r="D836" s="30"/>
      <c r="E836" s="30"/>
      <c r="F836" s="8"/>
    </row>
    <row r="837">
      <c r="B837" s="28"/>
      <c r="C837" s="29"/>
      <c r="D837" s="30"/>
      <c r="E837" s="30"/>
      <c r="F837" s="8"/>
    </row>
    <row r="838">
      <c r="B838" s="28"/>
      <c r="C838" s="29"/>
      <c r="D838" s="30"/>
      <c r="E838" s="30"/>
      <c r="F838" s="8"/>
    </row>
    <row r="839">
      <c r="B839" s="28"/>
      <c r="C839" s="29"/>
      <c r="D839" s="30"/>
      <c r="E839" s="30"/>
      <c r="F839" s="8"/>
    </row>
    <row r="840">
      <c r="B840" s="28"/>
      <c r="C840" s="29"/>
      <c r="D840" s="30"/>
      <c r="E840" s="30"/>
      <c r="F840" s="8"/>
    </row>
    <row r="841">
      <c r="B841" s="28"/>
      <c r="C841" s="29"/>
      <c r="D841" s="30"/>
      <c r="E841" s="30"/>
      <c r="F841" s="8"/>
    </row>
    <row r="842">
      <c r="B842" s="28"/>
      <c r="C842" s="29"/>
      <c r="D842" s="30"/>
      <c r="E842" s="30"/>
      <c r="F842" s="8"/>
    </row>
    <row r="843">
      <c r="B843" s="28"/>
      <c r="C843" s="29"/>
      <c r="D843" s="30"/>
      <c r="E843" s="30"/>
      <c r="F843" s="8"/>
    </row>
    <row r="844">
      <c r="B844" s="28"/>
      <c r="C844" s="29"/>
      <c r="D844" s="30"/>
      <c r="E844" s="30"/>
      <c r="F844" s="8"/>
    </row>
    <row r="845">
      <c r="B845" s="28"/>
      <c r="C845" s="29"/>
      <c r="D845" s="30"/>
      <c r="E845" s="30"/>
      <c r="F845" s="8"/>
    </row>
    <row r="846">
      <c r="B846" s="28"/>
      <c r="C846" s="29"/>
      <c r="D846" s="30"/>
      <c r="E846" s="30"/>
      <c r="F846" s="8"/>
    </row>
    <row r="847">
      <c r="B847" s="28"/>
      <c r="C847" s="29"/>
      <c r="D847" s="30"/>
      <c r="E847" s="30"/>
      <c r="F847" s="8"/>
    </row>
    <row r="848">
      <c r="B848" s="28"/>
      <c r="C848" s="29"/>
      <c r="D848" s="30"/>
      <c r="E848" s="30"/>
      <c r="F848" s="8"/>
    </row>
    <row r="849">
      <c r="B849" s="28"/>
      <c r="C849" s="29"/>
      <c r="D849" s="30"/>
      <c r="E849" s="30"/>
      <c r="F849" s="8"/>
    </row>
    <row r="850">
      <c r="B850" s="28"/>
      <c r="C850" s="29"/>
      <c r="D850" s="30"/>
      <c r="E850" s="30"/>
      <c r="F850" s="8"/>
    </row>
    <row r="851">
      <c r="B851" s="28"/>
      <c r="C851" s="29"/>
      <c r="D851" s="30"/>
      <c r="E851" s="30"/>
      <c r="F851" s="8"/>
    </row>
    <row r="852">
      <c r="B852" s="28"/>
      <c r="C852" s="29"/>
      <c r="D852" s="30"/>
      <c r="E852" s="30"/>
      <c r="F852" s="8"/>
    </row>
    <row r="853">
      <c r="B853" s="28"/>
      <c r="C853" s="29"/>
      <c r="D853" s="30"/>
      <c r="E853" s="30"/>
      <c r="F853" s="8"/>
    </row>
    <row r="854">
      <c r="B854" s="28"/>
      <c r="C854" s="29"/>
      <c r="D854" s="30"/>
      <c r="E854" s="30"/>
      <c r="F854" s="8"/>
    </row>
    <row r="855">
      <c r="B855" s="28"/>
      <c r="C855" s="29"/>
      <c r="D855" s="30"/>
      <c r="E855" s="30"/>
      <c r="F855" s="8"/>
    </row>
    <row r="856">
      <c r="B856" s="28"/>
      <c r="C856" s="29"/>
      <c r="D856" s="30"/>
      <c r="E856" s="30"/>
      <c r="F856" s="8"/>
    </row>
    <row r="857">
      <c r="B857" s="28"/>
      <c r="C857" s="29"/>
      <c r="D857" s="30"/>
      <c r="E857" s="30"/>
      <c r="F857" s="8"/>
    </row>
    <row r="858">
      <c r="B858" s="28"/>
      <c r="C858" s="29"/>
      <c r="D858" s="30"/>
      <c r="E858" s="30"/>
      <c r="F858" s="8"/>
    </row>
    <row r="859">
      <c r="B859" s="28"/>
      <c r="C859" s="29"/>
      <c r="D859" s="30"/>
      <c r="E859" s="30"/>
      <c r="F859" s="8"/>
    </row>
    <row r="860">
      <c r="B860" s="28"/>
      <c r="C860" s="29"/>
      <c r="D860" s="30"/>
      <c r="E860" s="30"/>
      <c r="F860" s="8"/>
    </row>
    <row r="861">
      <c r="B861" s="28"/>
      <c r="C861" s="29"/>
      <c r="D861" s="30"/>
      <c r="E861" s="30"/>
      <c r="F861" s="8"/>
    </row>
    <row r="862">
      <c r="B862" s="28"/>
      <c r="C862" s="29"/>
      <c r="D862" s="30"/>
      <c r="E862" s="30"/>
      <c r="F862" s="8"/>
    </row>
    <row r="863">
      <c r="B863" s="28"/>
      <c r="C863" s="29"/>
      <c r="D863" s="30"/>
      <c r="E863" s="30"/>
      <c r="F863" s="8"/>
    </row>
    <row r="864">
      <c r="B864" s="28"/>
      <c r="C864" s="29"/>
      <c r="D864" s="30"/>
      <c r="E864" s="30"/>
      <c r="F864" s="8"/>
    </row>
    <row r="865">
      <c r="B865" s="28"/>
      <c r="C865" s="29"/>
      <c r="D865" s="30"/>
      <c r="E865" s="30"/>
      <c r="F865" s="8"/>
    </row>
    <row r="866">
      <c r="B866" s="28"/>
      <c r="C866" s="29"/>
      <c r="D866" s="30"/>
      <c r="E866" s="30"/>
      <c r="F866" s="8"/>
    </row>
    <row r="867">
      <c r="B867" s="28"/>
      <c r="C867" s="29"/>
      <c r="D867" s="30"/>
      <c r="E867" s="30"/>
      <c r="F867" s="8"/>
    </row>
    <row r="868">
      <c r="B868" s="28"/>
      <c r="C868" s="29"/>
      <c r="D868" s="30"/>
      <c r="E868" s="30"/>
      <c r="F868" s="8"/>
    </row>
    <row r="869">
      <c r="B869" s="28"/>
      <c r="C869" s="29"/>
      <c r="D869" s="30"/>
      <c r="E869" s="30"/>
      <c r="F869" s="8"/>
    </row>
    <row r="870">
      <c r="B870" s="28"/>
      <c r="C870" s="29"/>
      <c r="D870" s="30"/>
      <c r="E870" s="30"/>
      <c r="F870" s="8"/>
    </row>
    <row r="871">
      <c r="B871" s="28"/>
      <c r="C871" s="29"/>
      <c r="D871" s="30"/>
      <c r="E871" s="30"/>
      <c r="F871" s="8"/>
    </row>
    <row r="872">
      <c r="B872" s="28"/>
      <c r="C872" s="29"/>
      <c r="D872" s="30"/>
      <c r="E872" s="30"/>
      <c r="F872" s="8"/>
    </row>
    <row r="873">
      <c r="B873" s="28"/>
      <c r="C873" s="29"/>
      <c r="D873" s="30"/>
      <c r="E873" s="30"/>
      <c r="F873" s="8"/>
    </row>
    <row r="874">
      <c r="B874" s="28"/>
      <c r="C874" s="29"/>
      <c r="D874" s="30"/>
      <c r="E874" s="30"/>
      <c r="F874" s="8"/>
    </row>
    <row r="875">
      <c r="B875" s="28"/>
      <c r="C875" s="29"/>
      <c r="D875" s="30"/>
      <c r="E875" s="30"/>
      <c r="F875" s="8"/>
    </row>
    <row r="876">
      <c r="B876" s="28"/>
      <c r="C876" s="29"/>
      <c r="D876" s="30"/>
      <c r="E876" s="30"/>
      <c r="F876" s="8"/>
    </row>
    <row r="877">
      <c r="B877" s="28"/>
      <c r="C877" s="29"/>
      <c r="D877" s="30"/>
      <c r="E877" s="30"/>
      <c r="F877" s="8"/>
    </row>
    <row r="878">
      <c r="B878" s="28"/>
      <c r="C878" s="29"/>
      <c r="D878" s="30"/>
      <c r="E878" s="30"/>
      <c r="F878" s="8"/>
    </row>
    <row r="879">
      <c r="B879" s="28"/>
      <c r="C879" s="29"/>
      <c r="D879" s="30"/>
      <c r="E879" s="30"/>
      <c r="F879" s="8"/>
    </row>
    <row r="880">
      <c r="B880" s="28"/>
      <c r="C880" s="29"/>
      <c r="D880" s="30"/>
      <c r="E880" s="30"/>
      <c r="F880" s="8"/>
    </row>
    <row r="881">
      <c r="B881" s="28"/>
      <c r="C881" s="29"/>
      <c r="D881" s="30"/>
      <c r="E881" s="30"/>
      <c r="F881" s="8"/>
    </row>
    <row r="882">
      <c r="B882" s="28"/>
      <c r="C882" s="29"/>
      <c r="D882" s="30"/>
      <c r="E882" s="30"/>
      <c r="F882" s="8"/>
    </row>
    <row r="883">
      <c r="B883" s="28"/>
      <c r="C883" s="29"/>
      <c r="D883" s="30"/>
      <c r="E883" s="30"/>
      <c r="F883" s="8"/>
    </row>
    <row r="884">
      <c r="B884" s="28"/>
      <c r="C884" s="29"/>
      <c r="D884" s="30"/>
      <c r="E884" s="30"/>
      <c r="F884" s="8"/>
    </row>
    <row r="885">
      <c r="B885" s="28"/>
      <c r="C885" s="29"/>
      <c r="D885" s="30"/>
      <c r="E885" s="30"/>
      <c r="F885" s="8"/>
    </row>
    <row r="886">
      <c r="B886" s="28"/>
      <c r="C886" s="29"/>
      <c r="D886" s="30"/>
      <c r="E886" s="30"/>
      <c r="F886" s="8"/>
    </row>
    <row r="887">
      <c r="B887" s="28"/>
      <c r="C887" s="29"/>
      <c r="D887" s="30"/>
      <c r="E887" s="30"/>
      <c r="F887" s="8"/>
    </row>
    <row r="888">
      <c r="B888" s="28"/>
      <c r="C888" s="29"/>
      <c r="D888" s="30"/>
      <c r="E888" s="30"/>
      <c r="F888" s="8"/>
    </row>
    <row r="889">
      <c r="B889" s="28"/>
      <c r="C889" s="29"/>
      <c r="D889" s="30"/>
      <c r="E889" s="30"/>
      <c r="F889" s="8"/>
    </row>
    <row r="890">
      <c r="B890" s="28"/>
      <c r="C890" s="29"/>
      <c r="D890" s="30"/>
      <c r="E890" s="30"/>
      <c r="F890" s="8"/>
    </row>
    <row r="891">
      <c r="B891" s="28"/>
      <c r="C891" s="29"/>
      <c r="D891" s="30"/>
      <c r="E891" s="30"/>
      <c r="F891" s="8"/>
    </row>
    <row r="892">
      <c r="B892" s="28"/>
      <c r="C892" s="29"/>
      <c r="D892" s="30"/>
      <c r="E892" s="30"/>
      <c r="F892" s="8"/>
    </row>
    <row r="893">
      <c r="B893" s="28"/>
      <c r="C893" s="29"/>
      <c r="D893" s="30"/>
      <c r="E893" s="30"/>
      <c r="F893" s="8"/>
    </row>
    <row r="894">
      <c r="B894" s="28"/>
      <c r="C894" s="29"/>
      <c r="D894" s="30"/>
      <c r="E894" s="30"/>
      <c r="F894" s="8"/>
    </row>
    <row r="895">
      <c r="B895" s="28"/>
      <c r="C895" s="29"/>
      <c r="D895" s="30"/>
      <c r="E895" s="30"/>
      <c r="F895" s="8"/>
    </row>
    <row r="896">
      <c r="B896" s="28"/>
      <c r="C896" s="29"/>
      <c r="D896" s="30"/>
      <c r="E896" s="30"/>
      <c r="F896" s="8"/>
    </row>
    <row r="897">
      <c r="B897" s="28"/>
      <c r="C897" s="29"/>
      <c r="D897" s="30"/>
      <c r="E897" s="30"/>
      <c r="F897" s="8"/>
    </row>
    <row r="898">
      <c r="B898" s="28"/>
      <c r="C898" s="29"/>
      <c r="D898" s="30"/>
      <c r="E898" s="30"/>
      <c r="F898" s="8"/>
    </row>
    <row r="899">
      <c r="B899" s="28"/>
      <c r="C899" s="29"/>
      <c r="D899" s="30"/>
      <c r="E899" s="30"/>
      <c r="F899" s="8"/>
    </row>
    <row r="900">
      <c r="B900" s="28"/>
      <c r="C900" s="29"/>
      <c r="D900" s="30"/>
      <c r="E900" s="30"/>
      <c r="F900" s="8"/>
    </row>
    <row r="901">
      <c r="B901" s="28"/>
      <c r="C901" s="29"/>
      <c r="D901" s="30"/>
      <c r="E901" s="30"/>
      <c r="F901" s="8"/>
    </row>
    <row r="902">
      <c r="B902" s="28"/>
      <c r="C902" s="29"/>
      <c r="D902" s="30"/>
      <c r="E902" s="30"/>
      <c r="F902" s="8"/>
    </row>
    <row r="903">
      <c r="B903" s="28"/>
      <c r="C903" s="29"/>
      <c r="D903" s="30"/>
      <c r="E903" s="30"/>
      <c r="F903" s="8"/>
    </row>
    <row r="904">
      <c r="B904" s="28"/>
      <c r="C904" s="29"/>
      <c r="D904" s="30"/>
      <c r="E904" s="30"/>
      <c r="F904" s="8"/>
    </row>
    <row r="905">
      <c r="B905" s="28"/>
      <c r="C905" s="29"/>
      <c r="D905" s="30"/>
      <c r="E905" s="30"/>
      <c r="F905" s="8"/>
    </row>
    <row r="906">
      <c r="B906" s="28"/>
      <c r="C906" s="29"/>
      <c r="D906" s="30"/>
      <c r="E906" s="30"/>
      <c r="F906" s="8"/>
    </row>
    <row r="907">
      <c r="B907" s="28"/>
      <c r="C907" s="29"/>
      <c r="D907" s="30"/>
      <c r="E907" s="30"/>
      <c r="F907" s="8"/>
    </row>
    <row r="908">
      <c r="B908" s="28"/>
      <c r="C908" s="29"/>
      <c r="D908" s="30"/>
      <c r="E908" s="30"/>
      <c r="F908" s="8"/>
    </row>
    <row r="909">
      <c r="B909" s="28"/>
      <c r="C909" s="29"/>
      <c r="D909" s="30"/>
      <c r="E909" s="30"/>
      <c r="F909" s="8"/>
    </row>
    <row r="910">
      <c r="B910" s="28"/>
      <c r="C910" s="29"/>
      <c r="D910" s="30"/>
      <c r="E910" s="30"/>
      <c r="F910" s="8"/>
    </row>
    <row r="911">
      <c r="B911" s="28"/>
      <c r="C911" s="29"/>
      <c r="D911" s="30"/>
      <c r="E911" s="30"/>
      <c r="F911" s="8"/>
    </row>
    <row r="912">
      <c r="B912" s="28"/>
      <c r="C912" s="29"/>
      <c r="D912" s="30"/>
      <c r="E912" s="30"/>
      <c r="F912" s="8"/>
    </row>
    <row r="913">
      <c r="B913" s="28"/>
      <c r="C913" s="29"/>
      <c r="D913" s="30"/>
      <c r="E913" s="30"/>
      <c r="F913" s="8"/>
    </row>
    <row r="914">
      <c r="B914" s="28"/>
      <c r="C914" s="29"/>
      <c r="D914" s="30"/>
      <c r="E914" s="30"/>
      <c r="F914" s="8"/>
    </row>
    <row r="915">
      <c r="B915" s="28"/>
      <c r="C915" s="29"/>
      <c r="D915" s="30"/>
      <c r="E915" s="30"/>
      <c r="F915" s="8"/>
    </row>
    <row r="916">
      <c r="B916" s="28"/>
      <c r="C916" s="29"/>
      <c r="D916" s="30"/>
      <c r="E916" s="30"/>
      <c r="F916" s="8"/>
    </row>
    <row r="917">
      <c r="B917" s="28"/>
      <c r="C917" s="29"/>
      <c r="D917" s="30"/>
      <c r="E917" s="30"/>
      <c r="F917" s="8"/>
    </row>
    <row r="918">
      <c r="B918" s="28"/>
      <c r="C918" s="29"/>
      <c r="D918" s="30"/>
      <c r="E918" s="30"/>
      <c r="F918" s="8"/>
    </row>
    <row r="919">
      <c r="B919" s="28"/>
      <c r="C919" s="29"/>
      <c r="D919" s="30"/>
      <c r="E919" s="30"/>
      <c r="F919" s="8"/>
    </row>
    <row r="920">
      <c r="B920" s="28"/>
      <c r="C920" s="29"/>
      <c r="D920" s="30"/>
      <c r="E920" s="30"/>
      <c r="F920" s="8"/>
    </row>
    <row r="921">
      <c r="B921" s="28"/>
      <c r="C921" s="29"/>
      <c r="D921" s="30"/>
      <c r="E921" s="30"/>
      <c r="F921" s="8"/>
    </row>
    <row r="922">
      <c r="B922" s="28"/>
      <c r="C922" s="29"/>
      <c r="D922" s="30"/>
      <c r="E922" s="30"/>
      <c r="F922" s="8"/>
    </row>
    <row r="923">
      <c r="B923" s="28"/>
      <c r="C923" s="29"/>
      <c r="D923" s="30"/>
      <c r="E923" s="30"/>
      <c r="F923" s="8"/>
    </row>
    <row r="924">
      <c r="B924" s="28"/>
      <c r="C924" s="29"/>
      <c r="D924" s="30"/>
      <c r="E924" s="30"/>
      <c r="F924" s="8"/>
    </row>
    <row r="925">
      <c r="B925" s="28"/>
      <c r="C925" s="29"/>
      <c r="D925" s="30"/>
      <c r="E925" s="30"/>
      <c r="F925" s="8"/>
    </row>
    <row r="926">
      <c r="B926" s="28"/>
      <c r="C926" s="29"/>
      <c r="D926" s="30"/>
      <c r="E926" s="30"/>
      <c r="F926" s="8"/>
    </row>
    <row r="927">
      <c r="B927" s="28"/>
      <c r="C927" s="29"/>
      <c r="D927" s="30"/>
      <c r="E927" s="30"/>
      <c r="F927" s="8"/>
    </row>
    <row r="928">
      <c r="B928" s="28"/>
      <c r="C928" s="29"/>
      <c r="D928" s="30"/>
      <c r="E928" s="30"/>
      <c r="F928" s="8"/>
    </row>
    <row r="929">
      <c r="B929" s="28"/>
      <c r="C929" s="29"/>
      <c r="D929" s="30"/>
      <c r="E929" s="30"/>
      <c r="F929" s="8"/>
    </row>
    <row r="930">
      <c r="B930" s="28"/>
      <c r="C930" s="29"/>
      <c r="D930" s="30"/>
      <c r="E930" s="30"/>
      <c r="F930" s="8"/>
    </row>
    <row r="931">
      <c r="B931" s="28"/>
      <c r="C931" s="29"/>
      <c r="D931" s="30"/>
      <c r="E931" s="30"/>
      <c r="F931" s="8"/>
    </row>
    <row r="932">
      <c r="B932" s="28"/>
      <c r="C932" s="29"/>
      <c r="D932" s="30"/>
      <c r="E932" s="30"/>
      <c r="F932" s="8"/>
    </row>
    <row r="933">
      <c r="B933" s="28"/>
      <c r="C933" s="29"/>
      <c r="D933" s="30"/>
      <c r="E933" s="30"/>
      <c r="F933" s="8"/>
    </row>
    <row r="934">
      <c r="B934" s="28"/>
      <c r="C934" s="29"/>
      <c r="D934" s="30"/>
      <c r="E934" s="30"/>
      <c r="F934" s="8"/>
    </row>
    <row r="935">
      <c r="B935" s="28"/>
      <c r="C935" s="29"/>
      <c r="D935" s="30"/>
      <c r="E935" s="30"/>
      <c r="F935" s="8"/>
    </row>
    <row r="936">
      <c r="B936" s="28"/>
      <c r="C936" s="29"/>
      <c r="D936" s="30"/>
      <c r="E936" s="30"/>
      <c r="F936" s="8"/>
    </row>
    <row r="937">
      <c r="B937" s="28"/>
      <c r="C937" s="29"/>
      <c r="D937" s="30"/>
      <c r="E937" s="30"/>
      <c r="F937" s="8"/>
    </row>
    <row r="938">
      <c r="B938" s="28"/>
      <c r="C938" s="29"/>
      <c r="D938" s="30"/>
      <c r="E938" s="30"/>
      <c r="F938" s="8"/>
    </row>
    <row r="939">
      <c r="B939" s="28"/>
      <c r="C939" s="29"/>
      <c r="D939" s="30"/>
      <c r="E939" s="30"/>
      <c r="F939" s="8"/>
    </row>
    <row r="940">
      <c r="B940" s="28"/>
      <c r="C940" s="29"/>
      <c r="D940" s="30"/>
      <c r="E940" s="30"/>
      <c r="F940" s="8"/>
    </row>
    <row r="941">
      <c r="B941" s="28"/>
      <c r="C941" s="29"/>
      <c r="D941" s="30"/>
      <c r="E941" s="30"/>
      <c r="F941" s="8"/>
    </row>
    <row r="942">
      <c r="B942" s="28"/>
      <c r="C942" s="29"/>
      <c r="D942" s="30"/>
      <c r="E942" s="30"/>
      <c r="F942" s="8"/>
    </row>
    <row r="943">
      <c r="B943" s="28"/>
      <c r="C943" s="29"/>
      <c r="D943" s="30"/>
      <c r="E943" s="30"/>
      <c r="F943" s="8"/>
    </row>
    <row r="944">
      <c r="B944" s="28"/>
      <c r="C944" s="29"/>
      <c r="D944" s="30"/>
      <c r="E944" s="30"/>
      <c r="F944" s="8"/>
    </row>
    <row r="945">
      <c r="B945" s="28"/>
      <c r="C945" s="29"/>
      <c r="D945" s="30"/>
      <c r="E945" s="30"/>
      <c r="F945" s="8"/>
    </row>
    <row r="946">
      <c r="B946" s="28"/>
      <c r="C946" s="29"/>
      <c r="D946" s="30"/>
      <c r="E946" s="30"/>
      <c r="F946" s="8"/>
    </row>
    <row r="947">
      <c r="B947" s="28"/>
      <c r="C947" s="29"/>
      <c r="D947" s="30"/>
      <c r="E947" s="30"/>
      <c r="F947" s="8"/>
    </row>
    <row r="948">
      <c r="B948" s="28"/>
      <c r="C948" s="29"/>
      <c r="D948" s="30"/>
      <c r="E948" s="30"/>
      <c r="F948" s="8"/>
    </row>
    <row r="949">
      <c r="B949" s="28"/>
      <c r="C949" s="29"/>
      <c r="D949" s="30"/>
      <c r="E949" s="30"/>
      <c r="F949" s="8"/>
    </row>
    <row r="950">
      <c r="B950" s="28"/>
      <c r="C950" s="29"/>
      <c r="D950" s="30"/>
      <c r="E950" s="30"/>
      <c r="F950" s="8"/>
    </row>
    <row r="951">
      <c r="B951" s="28"/>
      <c r="C951" s="29"/>
      <c r="D951" s="30"/>
      <c r="E951" s="30"/>
      <c r="F951" s="8"/>
    </row>
    <row r="952">
      <c r="B952" s="28"/>
      <c r="C952" s="29"/>
      <c r="D952" s="30"/>
      <c r="E952" s="30"/>
      <c r="F952" s="8"/>
    </row>
    <row r="953">
      <c r="B953" s="28"/>
      <c r="C953" s="29"/>
      <c r="D953" s="30"/>
      <c r="E953" s="30"/>
      <c r="F953" s="8"/>
    </row>
    <row r="954">
      <c r="B954" s="28"/>
      <c r="C954" s="29"/>
      <c r="D954" s="30"/>
      <c r="E954" s="30"/>
      <c r="F954" s="8"/>
    </row>
    <row r="955">
      <c r="B955" s="28"/>
      <c r="C955" s="29"/>
      <c r="D955" s="30"/>
      <c r="E955" s="30"/>
      <c r="F955" s="8"/>
    </row>
    <row r="956">
      <c r="B956" s="28"/>
      <c r="C956" s="29"/>
      <c r="D956" s="30"/>
      <c r="E956" s="30"/>
      <c r="F956" s="8"/>
    </row>
    <row r="957">
      <c r="B957" s="28"/>
      <c r="C957" s="29"/>
      <c r="D957" s="30"/>
      <c r="E957" s="30"/>
      <c r="F957" s="8"/>
    </row>
    <row r="958">
      <c r="B958" s="28"/>
      <c r="C958" s="29"/>
      <c r="D958" s="30"/>
      <c r="E958" s="30"/>
      <c r="F958" s="8"/>
    </row>
    <row r="959">
      <c r="B959" s="28"/>
      <c r="C959" s="29"/>
      <c r="D959" s="30"/>
      <c r="E959" s="30"/>
      <c r="F959" s="8"/>
    </row>
    <row r="960">
      <c r="B960" s="28"/>
      <c r="C960" s="29"/>
      <c r="D960" s="30"/>
      <c r="E960" s="30"/>
      <c r="F960" s="8"/>
    </row>
    <row r="961">
      <c r="B961" s="28"/>
      <c r="C961" s="29"/>
      <c r="D961" s="30"/>
      <c r="E961" s="30"/>
      <c r="F961" s="8"/>
    </row>
    <row r="962">
      <c r="B962" s="28"/>
      <c r="C962" s="29"/>
      <c r="D962" s="30"/>
      <c r="E962" s="30"/>
      <c r="F962" s="8"/>
    </row>
    <row r="963">
      <c r="B963" s="28"/>
      <c r="C963" s="29"/>
      <c r="D963" s="30"/>
      <c r="E963" s="30"/>
      <c r="F963" s="8"/>
    </row>
    <row r="964">
      <c r="B964" s="28"/>
      <c r="C964" s="29"/>
      <c r="D964" s="30"/>
      <c r="E964" s="30"/>
      <c r="F964" s="8"/>
    </row>
    <row r="965">
      <c r="B965" s="28"/>
      <c r="C965" s="29"/>
      <c r="D965" s="30"/>
      <c r="E965" s="30"/>
      <c r="F965" s="8"/>
    </row>
    <row r="966">
      <c r="B966" s="28"/>
      <c r="C966" s="29"/>
      <c r="D966" s="30"/>
      <c r="E966" s="30"/>
      <c r="F966" s="8"/>
    </row>
    <row r="967">
      <c r="B967" s="28"/>
      <c r="C967" s="29"/>
      <c r="D967" s="30"/>
      <c r="E967" s="30"/>
      <c r="F967" s="8"/>
    </row>
    <row r="968">
      <c r="B968" s="28"/>
      <c r="C968" s="29"/>
      <c r="D968" s="30"/>
      <c r="E968" s="30"/>
      <c r="F968" s="8"/>
    </row>
    <row r="969">
      <c r="B969" s="28"/>
      <c r="C969" s="29"/>
      <c r="D969" s="30"/>
      <c r="E969" s="30"/>
      <c r="F969" s="8"/>
    </row>
    <row r="970">
      <c r="B970" s="28"/>
      <c r="C970" s="29"/>
      <c r="D970" s="30"/>
      <c r="E970" s="30"/>
      <c r="F970" s="8"/>
    </row>
    <row r="971">
      <c r="B971" s="28"/>
      <c r="C971" s="29"/>
      <c r="D971" s="30"/>
      <c r="E971" s="30"/>
      <c r="F971" s="8"/>
    </row>
    <row r="972">
      <c r="B972" s="28"/>
      <c r="C972" s="29"/>
      <c r="D972" s="30"/>
      <c r="E972" s="30"/>
      <c r="F972" s="8"/>
    </row>
    <row r="973">
      <c r="B973" s="28"/>
      <c r="C973" s="29"/>
      <c r="D973" s="30"/>
      <c r="E973" s="30"/>
      <c r="F973" s="8"/>
    </row>
    <row r="974">
      <c r="B974" s="28"/>
      <c r="C974" s="29"/>
      <c r="D974" s="30"/>
      <c r="E974" s="30"/>
      <c r="F974" s="8"/>
    </row>
    <row r="975">
      <c r="B975" s="28"/>
      <c r="C975" s="29"/>
      <c r="D975" s="30"/>
      <c r="E975" s="30"/>
      <c r="F975" s="8"/>
    </row>
    <row r="976">
      <c r="B976" s="28"/>
      <c r="C976" s="29"/>
      <c r="D976" s="30"/>
      <c r="E976" s="30"/>
      <c r="F976" s="8"/>
    </row>
    <row r="977">
      <c r="B977" s="28"/>
      <c r="C977" s="29"/>
      <c r="D977" s="30"/>
      <c r="E977" s="30"/>
      <c r="F977" s="8"/>
    </row>
    <row r="978">
      <c r="B978" s="28"/>
      <c r="C978" s="29"/>
      <c r="D978" s="30"/>
      <c r="E978" s="30"/>
      <c r="F978" s="8"/>
    </row>
    <row r="979">
      <c r="B979" s="28"/>
      <c r="C979" s="29"/>
      <c r="D979" s="30"/>
      <c r="E979" s="30"/>
      <c r="F979" s="8"/>
    </row>
    <row r="980">
      <c r="B980" s="28"/>
      <c r="C980" s="29"/>
      <c r="D980" s="30"/>
      <c r="E980" s="30"/>
      <c r="F980" s="8"/>
    </row>
    <row r="981">
      <c r="B981" s="28"/>
      <c r="C981" s="29"/>
      <c r="D981" s="30"/>
      <c r="E981" s="30"/>
      <c r="F981" s="8"/>
    </row>
    <row r="982">
      <c r="B982" s="28"/>
      <c r="C982" s="29"/>
      <c r="D982" s="30"/>
      <c r="E982" s="30"/>
      <c r="F982" s="8"/>
    </row>
    <row r="983">
      <c r="B983" s="28"/>
      <c r="C983" s="29"/>
      <c r="D983" s="30"/>
      <c r="E983" s="30"/>
      <c r="F983" s="8"/>
    </row>
    <row r="984">
      <c r="B984" s="28"/>
      <c r="C984" s="29"/>
      <c r="D984" s="30"/>
      <c r="E984" s="30"/>
      <c r="F984" s="8"/>
    </row>
    <row r="985">
      <c r="B985" s="28"/>
      <c r="C985" s="29"/>
      <c r="D985" s="30"/>
      <c r="E985" s="30"/>
      <c r="F985" s="8"/>
    </row>
    <row r="986">
      <c r="B986" s="28"/>
      <c r="C986" s="29"/>
      <c r="D986" s="30"/>
      <c r="E986" s="30"/>
      <c r="F986" s="8"/>
    </row>
    <row r="987">
      <c r="B987" s="28"/>
      <c r="C987" s="29"/>
      <c r="D987" s="30"/>
      <c r="E987" s="30"/>
      <c r="F987" s="8"/>
    </row>
    <row r="988">
      <c r="B988" s="28"/>
      <c r="C988" s="29"/>
      <c r="D988" s="30"/>
      <c r="E988" s="30"/>
      <c r="F988" s="8"/>
    </row>
    <row r="989">
      <c r="B989" s="28"/>
      <c r="C989" s="29"/>
      <c r="D989" s="30"/>
      <c r="E989" s="30"/>
      <c r="F989" s="8"/>
    </row>
    <row r="990">
      <c r="B990" s="28"/>
      <c r="C990" s="29"/>
      <c r="D990" s="30"/>
      <c r="E990" s="30"/>
      <c r="F990" s="8"/>
    </row>
    <row r="991">
      <c r="B991" s="28"/>
      <c r="C991" s="29"/>
      <c r="D991" s="30"/>
      <c r="E991" s="30"/>
      <c r="F991" s="8"/>
    </row>
    <row r="992">
      <c r="B992" s="28"/>
      <c r="C992" s="29"/>
      <c r="D992" s="30"/>
      <c r="E992" s="30"/>
      <c r="F992" s="8"/>
    </row>
    <row r="993">
      <c r="B993" s="28"/>
      <c r="C993" s="29"/>
      <c r="D993" s="30"/>
      <c r="E993" s="30"/>
      <c r="F993" s="8"/>
    </row>
    <row r="994">
      <c r="B994" s="28"/>
      <c r="C994" s="29"/>
      <c r="D994" s="30"/>
      <c r="E994" s="30"/>
      <c r="F994" s="8"/>
    </row>
    <row r="995">
      <c r="B995" s="28"/>
      <c r="C995" s="29"/>
      <c r="D995" s="30"/>
      <c r="E995" s="30"/>
      <c r="F995" s="8"/>
    </row>
    <row r="996">
      <c r="B996" s="28"/>
      <c r="C996" s="29"/>
      <c r="D996" s="30"/>
      <c r="E996" s="30"/>
      <c r="F996" s="8"/>
    </row>
    <row r="997">
      <c r="B997" s="28"/>
      <c r="C997" s="29"/>
      <c r="D997" s="30"/>
      <c r="E997" s="30"/>
      <c r="F997" s="8"/>
    </row>
    <row r="998">
      <c r="B998" s="28"/>
      <c r="C998" s="29"/>
      <c r="D998" s="30"/>
      <c r="E998" s="30"/>
      <c r="F998" s="8"/>
    </row>
    <row r="999">
      <c r="B999" s="28"/>
      <c r="C999" s="29"/>
      <c r="D999" s="30"/>
      <c r="E999" s="30"/>
      <c r="F999" s="8"/>
    </row>
    <row r="1000">
      <c r="B1000" s="28"/>
      <c r="C1000" s="29"/>
      <c r="D1000" s="30"/>
      <c r="E1000" s="30"/>
      <c r="F1000" s="8"/>
    </row>
    <row r="1001">
      <c r="B1001" s="28"/>
      <c r="C1001" s="29"/>
      <c r="D1001" s="30"/>
      <c r="E1001" s="30"/>
      <c r="F1001" s="8"/>
    </row>
    <row r="1002">
      <c r="B1002" s="28"/>
      <c r="C1002" s="29"/>
      <c r="D1002" s="30"/>
      <c r="E1002" s="30"/>
      <c r="F1002" s="8"/>
    </row>
    <row r="1003">
      <c r="B1003" s="28"/>
      <c r="C1003" s="29"/>
      <c r="D1003" s="30"/>
      <c r="E1003" s="30"/>
      <c r="F1003" s="8"/>
    </row>
    <row r="1004">
      <c r="B1004" s="28"/>
      <c r="C1004" s="29"/>
      <c r="D1004" s="30"/>
      <c r="E1004" s="30"/>
      <c r="F1004" s="8"/>
    </row>
    <row r="1005">
      <c r="B1005" s="28"/>
      <c r="C1005" s="29"/>
      <c r="D1005" s="30"/>
      <c r="E1005" s="30"/>
      <c r="F1005" s="8"/>
    </row>
    <row r="1006">
      <c r="B1006" s="28"/>
      <c r="C1006" s="29"/>
      <c r="D1006" s="30"/>
      <c r="E1006" s="30"/>
      <c r="F1006" s="8"/>
    </row>
    <row r="1007">
      <c r="B1007" s="28"/>
      <c r="C1007" s="29"/>
      <c r="D1007" s="30"/>
      <c r="E1007" s="30"/>
      <c r="F1007" s="8"/>
    </row>
    <row r="1008">
      <c r="B1008" s="28"/>
      <c r="C1008" s="29"/>
      <c r="D1008" s="30"/>
      <c r="E1008" s="30"/>
      <c r="F1008" s="8"/>
    </row>
    <row r="1009">
      <c r="B1009" s="28"/>
      <c r="C1009" s="29"/>
      <c r="D1009" s="30"/>
      <c r="E1009" s="30"/>
      <c r="F1009" s="8"/>
    </row>
    <row r="1010">
      <c r="B1010" s="28"/>
      <c r="C1010" s="29"/>
      <c r="D1010" s="30"/>
      <c r="E1010" s="30"/>
      <c r="F1010" s="8"/>
    </row>
    <row r="1011">
      <c r="B1011" s="28"/>
      <c r="C1011" s="29"/>
      <c r="D1011" s="30"/>
      <c r="E1011" s="30"/>
      <c r="F1011" s="8"/>
    </row>
    <row r="1012">
      <c r="B1012" s="28"/>
      <c r="C1012" s="29"/>
      <c r="D1012" s="30"/>
      <c r="E1012" s="30"/>
      <c r="F1012" s="8"/>
    </row>
    <row r="1013">
      <c r="B1013" s="28"/>
      <c r="C1013" s="29"/>
      <c r="D1013" s="30"/>
      <c r="E1013" s="30"/>
      <c r="F1013" s="8"/>
    </row>
    <row r="1014">
      <c r="B1014" s="28"/>
      <c r="C1014" s="29"/>
      <c r="D1014" s="30"/>
      <c r="E1014" s="30"/>
      <c r="F1014" s="8"/>
    </row>
    <row r="1015">
      <c r="B1015" s="28"/>
      <c r="C1015" s="29"/>
      <c r="D1015" s="30"/>
      <c r="E1015" s="30"/>
      <c r="F1015" s="8"/>
    </row>
    <row r="1016">
      <c r="B1016" s="28"/>
      <c r="C1016" s="29"/>
      <c r="D1016" s="30"/>
      <c r="E1016" s="30"/>
      <c r="F1016" s="8"/>
    </row>
    <row r="1017">
      <c r="B1017" s="28"/>
      <c r="C1017" s="29"/>
      <c r="D1017" s="30"/>
      <c r="E1017" s="30"/>
      <c r="F1017" s="8"/>
    </row>
    <row r="1018">
      <c r="B1018" s="28"/>
      <c r="C1018" s="29"/>
      <c r="D1018" s="30"/>
      <c r="E1018" s="30"/>
      <c r="F1018" s="8"/>
    </row>
    <row r="1019">
      <c r="B1019" s="28"/>
      <c r="C1019" s="29"/>
      <c r="D1019" s="30"/>
      <c r="E1019" s="30"/>
      <c r="F1019" s="8"/>
    </row>
    <row r="1020">
      <c r="B1020" s="28"/>
      <c r="C1020" s="29"/>
      <c r="D1020" s="30"/>
      <c r="E1020" s="30"/>
      <c r="F1020" s="8"/>
    </row>
    <row r="1021">
      <c r="B1021" s="28"/>
      <c r="C1021" s="29"/>
      <c r="D1021" s="30"/>
      <c r="E1021" s="30"/>
      <c r="F1021" s="8"/>
    </row>
    <row r="1022">
      <c r="B1022" s="28"/>
      <c r="C1022" s="29"/>
      <c r="D1022" s="30"/>
      <c r="E1022" s="30"/>
      <c r="F1022" s="8"/>
    </row>
    <row r="1023">
      <c r="B1023" s="28"/>
      <c r="C1023" s="29"/>
      <c r="D1023" s="30"/>
      <c r="E1023" s="30"/>
      <c r="F1023" s="8"/>
    </row>
    <row r="1024">
      <c r="B1024" s="28"/>
      <c r="C1024" s="29"/>
      <c r="D1024" s="30"/>
      <c r="E1024" s="30"/>
      <c r="F1024" s="8"/>
    </row>
    <row r="1025">
      <c r="B1025" s="28"/>
      <c r="C1025" s="29"/>
      <c r="D1025" s="30"/>
      <c r="E1025" s="30"/>
      <c r="F1025" s="8"/>
    </row>
    <row r="1026">
      <c r="B1026" s="28"/>
      <c r="C1026" s="29"/>
      <c r="D1026" s="30"/>
      <c r="E1026" s="30"/>
      <c r="F1026" s="8"/>
    </row>
    <row r="1027">
      <c r="B1027" s="28"/>
      <c r="C1027" s="29"/>
      <c r="D1027" s="30"/>
      <c r="E1027" s="30"/>
      <c r="F1027" s="8"/>
    </row>
    <row r="1028">
      <c r="B1028" s="28"/>
      <c r="C1028" s="29"/>
      <c r="D1028" s="30"/>
      <c r="E1028" s="30"/>
      <c r="F1028" s="8"/>
    </row>
    <row r="1029">
      <c r="B1029" s="28"/>
      <c r="C1029" s="29"/>
      <c r="D1029" s="30"/>
      <c r="E1029" s="30"/>
      <c r="F1029" s="8"/>
    </row>
    <row r="1030">
      <c r="B1030" s="28"/>
      <c r="C1030" s="29"/>
      <c r="D1030" s="30"/>
      <c r="E1030" s="30"/>
      <c r="F1030" s="8"/>
    </row>
    <row r="1031">
      <c r="B1031" s="28"/>
      <c r="C1031" s="29"/>
      <c r="D1031" s="30"/>
      <c r="E1031" s="30"/>
      <c r="F1031" s="8"/>
    </row>
    <row r="1032">
      <c r="B1032" s="28"/>
      <c r="C1032" s="29"/>
      <c r="D1032" s="30"/>
      <c r="E1032" s="30"/>
      <c r="F1032" s="8"/>
    </row>
    <row r="1033">
      <c r="B1033" s="28"/>
      <c r="C1033" s="29"/>
      <c r="D1033" s="30"/>
      <c r="E1033" s="30"/>
      <c r="F1033" s="8"/>
    </row>
    <row r="1034">
      <c r="B1034" s="28"/>
      <c r="C1034" s="29"/>
      <c r="D1034" s="30"/>
      <c r="E1034" s="30"/>
      <c r="F1034" s="8"/>
    </row>
    <row r="1035">
      <c r="B1035" s="28"/>
      <c r="C1035" s="29"/>
      <c r="D1035" s="30"/>
      <c r="E1035" s="30"/>
      <c r="F1035" s="8"/>
    </row>
    <row r="1036">
      <c r="B1036" s="28"/>
      <c r="C1036" s="29"/>
      <c r="D1036" s="30"/>
      <c r="E1036" s="30"/>
      <c r="F1036" s="8"/>
    </row>
    <row r="1037">
      <c r="B1037" s="28"/>
      <c r="C1037" s="29"/>
      <c r="D1037" s="30"/>
      <c r="E1037" s="30"/>
      <c r="F1037" s="8"/>
    </row>
  </sheetData>
  <conditionalFormatting sqref="E1:E1037">
    <cfRule type="expression" dxfId="0" priority="1">
      <formula>AND(ISNUMBER(E1),TRUNC(E1)&lt;TODAY())</formula>
    </cfRule>
  </conditionalFormatting>
  <conditionalFormatting sqref="E1:E1037">
    <cfRule type="expression" dxfId="1" priority="2">
      <formula>AND(ISNUMBER(E1),TRUNC(E1)&gt;TODAY())</formula>
    </cfRule>
  </conditionalFormatting>
  <conditionalFormatting sqref="A2:G139">
    <cfRule type="expression" dxfId="2" priority="3">
      <formula>MOD(COUNTUNIQUE($A$2:$A2), 2) = 0</formula>
    </cfRule>
  </conditionalFormatting>
  <conditionalFormatting sqref="A2:G142">
    <cfRule type="expression" dxfId="3" priority="4">
      <formula>MOD(COUNTUNIQUE($A$2:$A2), 2) = 1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5"/>
    <col customWidth="1" min="2" max="2" width="43.63"/>
    <col customWidth="1" min="3" max="3" width="46.5"/>
    <col customWidth="1" min="4" max="4" width="18.88"/>
    <col customWidth="1" min="5" max="5" width="22.0"/>
    <col customWidth="1" min="6" max="47" width="18.88"/>
  </cols>
  <sheetData>
    <row r="1" ht="22.5" customHeight="1">
      <c r="A1" s="31" t="s">
        <v>66</v>
      </c>
      <c r="B1" s="32" t="s">
        <v>6</v>
      </c>
      <c r="C1" s="32" t="s">
        <v>67</v>
      </c>
      <c r="D1" s="32" t="s">
        <v>68</v>
      </c>
      <c r="E1" s="32" t="s">
        <v>69</v>
      </c>
      <c r="F1" s="33" t="s">
        <v>70</v>
      </c>
      <c r="G1" s="33" t="s">
        <v>71</v>
      </c>
      <c r="H1" s="33" t="s">
        <v>72</v>
      </c>
      <c r="I1" s="33" t="s">
        <v>73</v>
      </c>
      <c r="J1" s="33" t="s">
        <v>74</v>
      </c>
      <c r="K1" s="33" t="s">
        <v>75</v>
      </c>
      <c r="L1" s="33" t="s">
        <v>76</v>
      </c>
      <c r="M1" s="33" t="s">
        <v>77</v>
      </c>
      <c r="N1" s="33" t="s">
        <v>78</v>
      </c>
      <c r="O1" s="33" t="s">
        <v>79</v>
      </c>
      <c r="P1" s="33" t="s">
        <v>80</v>
      </c>
      <c r="Q1" s="33" t="s">
        <v>81</v>
      </c>
      <c r="R1" s="33" t="s">
        <v>82</v>
      </c>
      <c r="S1" s="33" t="s">
        <v>83</v>
      </c>
      <c r="T1" s="33" t="s">
        <v>84</v>
      </c>
      <c r="U1" s="33" t="s">
        <v>85</v>
      </c>
      <c r="V1" s="33" t="s">
        <v>86</v>
      </c>
      <c r="W1" s="33" t="s">
        <v>87</v>
      </c>
      <c r="X1" s="33" t="s">
        <v>88</v>
      </c>
      <c r="Y1" s="33" t="s">
        <v>89</v>
      </c>
      <c r="Z1" s="33" t="s">
        <v>90</v>
      </c>
      <c r="AA1" s="33" t="s">
        <v>91</v>
      </c>
      <c r="AB1" s="33" t="s">
        <v>92</v>
      </c>
      <c r="AC1" s="33" t="s">
        <v>93</v>
      </c>
      <c r="AD1" s="33" t="s">
        <v>94</v>
      </c>
      <c r="AE1" s="33" t="s">
        <v>95</v>
      </c>
      <c r="AF1" s="33" t="s">
        <v>96</v>
      </c>
      <c r="AG1" s="33" t="s">
        <v>97</v>
      </c>
      <c r="AH1" s="33" t="s">
        <v>98</v>
      </c>
      <c r="AI1" s="33" t="s">
        <v>99</v>
      </c>
      <c r="AJ1" s="33" t="s">
        <v>100</v>
      </c>
      <c r="AK1" s="33" t="s">
        <v>101</v>
      </c>
      <c r="AL1" s="33" t="s">
        <v>102</v>
      </c>
      <c r="AM1" s="33" t="s">
        <v>103</v>
      </c>
      <c r="AN1" s="33" t="s">
        <v>104</v>
      </c>
      <c r="AO1" s="33" t="s">
        <v>105</v>
      </c>
    </row>
    <row r="2" ht="22.5" customHeight="1">
      <c r="A2" s="34">
        <v>46142.42804197917</v>
      </c>
      <c r="B2" s="35" t="s">
        <v>21</v>
      </c>
      <c r="C2" s="35" t="s">
        <v>106</v>
      </c>
      <c r="D2" s="36">
        <v>46085.0</v>
      </c>
      <c r="F2" s="35" t="s">
        <v>107</v>
      </c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</row>
    <row r="3" ht="22.5" customHeight="1">
      <c r="A3" s="38">
        <v>46142.3925819213</v>
      </c>
      <c r="B3" s="39" t="s">
        <v>21</v>
      </c>
      <c r="C3" s="39" t="s">
        <v>108</v>
      </c>
      <c r="D3" s="40">
        <v>46140.0</v>
      </c>
      <c r="E3" s="41"/>
      <c r="F3" s="39" t="s">
        <v>107</v>
      </c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</row>
    <row r="4" ht="22.5" customHeight="1">
      <c r="A4" s="34">
        <v>46142.39289282408</v>
      </c>
      <c r="B4" s="35" t="s">
        <v>29</v>
      </c>
      <c r="C4" s="35" t="s">
        <v>109</v>
      </c>
      <c r="D4" s="36">
        <v>46140.0</v>
      </c>
      <c r="F4" s="35" t="s">
        <v>110</v>
      </c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</row>
    <row r="5" ht="22.5" customHeight="1">
      <c r="A5" s="34">
        <v>46142.39364744213</v>
      </c>
      <c r="B5" s="35" t="s">
        <v>34</v>
      </c>
      <c r="C5" s="35" t="s">
        <v>106</v>
      </c>
      <c r="D5" s="36">
        <v>46140.0</v>
      </c>
      <c r="F5" s="35" t="s">
        <v>107</v>
      </c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</row>
    <row r="6" ht="22.5" customHeight="1">
      <c r="A6" s="34">
        <v>46142.39423908565</v>
      </c>
      <c r="B6" s="35" t="s">
        <v>41</v>
      </c>
      <c r="C6" s="35" t="s">
        <v>106</v>
      </c>
      <c r="D6" s="36">
        <v>46140.0</v>
      </c>
      <c r="F6" s="35" t="s">
        <v>107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</row>
    <row r="7" ht="22.5" customHeight="1">
      <c r="A7" s="34">
        <v>46142.39579765046</v>
      </c>
      <c r="B7" s="35" t="s">
        <v>42</v>
      </c>
      <c r="C7" s="35" t="s">
        <v>111</v>
      </c>
      <c r="D7" s="36">
        <v>46140.0</v>
      </c>
      <c r="F7" s="35" t="s">
        <v>107</v>
      </c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</row>
    <row r="8" ht="22.5" customHeight="1">
      <c r="A8" s="34">
        <v>46142.396089988426</v>
      </c>
      <c r="B8" s="35" t="s">
        <v>43</v>
      </c>
      <c r="C8" s="35" t="s">
        <v>106</v>
      </c>
      <c r="D8" s="36">
        <v>46140.0</v>
      </c>
      <c r="F8" s="35" t="s">
        <v>107</v>
      </c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</row>
    <row r="9" ht="22.5" customHeight="1">
      <c r="A9" s="34">
        <v>46142.39323638889</v>
      </c>
      <c r="B9" s="35" t="s">
        <v>44</v>
      </c>
      <c r="C9" s="35" t="s">
        <v>109</v>
      </c>
      <c r="D9" s="36">
        <v>46140.0</v>
      </c>
      <c r="F9" s="35" t="s">
        <v>107</v>
      </c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</row>
    <row r="10" ht="22.5" customHeight="1">
      <c r="A10" s="34">
        <v>46142.39628811342</v>
      </c>
      <c r="B10" s="35" t="s">
        <v>45</v>
      </c>
      <c r="C10" s="35" t="s">
        <v>112</v>
      </c>
      <c r="D10" s="36">
        <v>46140.0</v>
      </c>
      <c r="F10" s="35" t="s">
        <v>107</v>
      </c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</row>
    <row r="11" ht="22.5" customHeight="1">
      <c r="A11" s="34">
        <v>46142.447930208335</v>
      </c>
      <c r="B11" s="35" t="s">
        <v>21</v>
      </c>
      <c r="C11" s="35" t="s">
        <v>109</v>
      </c>
      <c r="D11" s="36">
        <v>46044.0</v>
      </c>
      <c r="F11" s="35" t="s">
        <v>107</v>
      </c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</row>
    <row r="12" ht="22.5" customHeight="1">
      <c r="A12" s="34">
        <v>46142.449749583335</v>
      </c>
      <c r="B12" s="35" t="s">
        <v>29</v>
      </c>
      <c r="C12" s="35" t="s">
        <v>109</v>
      </c>
      <c r="D12" s="36">
        <v>46092.0</v>
      </c>
      <c r="F12" s="35" t="s">
        <v>107</v>
      </c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</row>
    <row r="13" ht="22.5" customHeight="1">
      <c r="A13" s="43">
        <v>46144.83174925926</v>
      </c>
      <c r="B13" s="35" t="s">
        <v>22</v>
      </c>
      <c r="C13" s="35" t="s">
        <v>23</v>
      </c>
      <c r="D13" s="36">
        <v>46144.0</v>
      </c>
    </row>
    <row r="14" ht="22.5" customHeight="1">
      <c r="A14" s="43">
        <v>46145.44536541667</v>
      </c>
      <c r="B14" s="35" t="s">
        <v>43</v>
      </c>
      <c r="C14" s="35" t="s">
        <v>113</v>
      </c>
      <c r="D14" s="36">
        <v>46145.0</v>
      </c>
    </row>
    <row r="15" ht="22.5" customHeight="1">
      <c r="A15" s="43">
        <v>46162.634519363426</v>
      </c>
      <c r="B15" s="35" t="s">
        <v>65</v>
      </c>
      <c r="C15" s="35" t="s">
        <v>14</v>
      </c>
      <c r="D15" s="36">
        <v>46162.0</v>
      </c>
    </row>
    <row r="16" ht="22.5" customHeight="1">
      <c r="A16" s="43">
        <v>46162.71590137732</v>
      </c>
      <c r="B16" s="35" t="s">
        <v>51</v>
      </c>
      <c r="C16" s="35" t="s">
        <v>14</v>
      </c>
      <c r="D16" s="36">
        <v>46162.0</v>
      </c>
    </row>
    <row r="17" ht="22.5" customHeight="1">
      <c r="A17" s="43">
        <v>46162.769890717595</v>
      </c>
      <c r="B17" s="35" t="s">
        <v>59</v>
      </c>
      <c r="C17" s="35" t="s">
        <v>114</v>
      </c>
      <c r="D17" s="36">
        <v>46162.0</v>
      </c>
    </row>
    <row r="18" ht="22.5" customHeight="1">
      <c r="A18" s="43">
        <v>46162.77086563657</v>
      </c>
      <c r="B18" s="35" t="s">
        <v>59</v>
      </c>
      <c r="C18" s="35" t="s">
        <v>14</v>
      </c>
      <c r="D18" s="36">
        <v>46162.0</v>
      </c>
    </row>
    <row r="19">
      <c r="A19" s="8"/>
    </row>
    <row r="20">
      <c r="A20" s="8"/>
    </row>
    <row r="21">
      <c r="A21" s="8"/>
    </row>
    <row r="22">
      <c r="A22" s="8"/>
    </row>
    <row r="23">
      <c r="A23" s="8"/>
    </row>
    <row r="24">
      <c r="A24" s="8"/>
    </row>
    <row r="25">
      <c r="A25" s="8"/>
    </row>
    <row r="26">
      <c r="A26" s="8"/>
    </row>
    <row r="27">
      <c r="A27" s="8"/>
    </row>
    <row r="28">
      <c r="A28" s="8"/>
    </row>
    <row r="29">
      <c r="A29" s="8"/>
    </row>
    <row r="30">
      <c r="A30" s="8"/>
    </row>
    <row r="31">
      <c r="A31" s="8"/>
    </row>
    <row r="32">
      <c r="A32" s="8"/>
    </row>
    <row r="33">
      <c r="A33" s="8"/>
    </row>
    <row r="34">
      <c r="A34" s="8"/>
    </row>
    <row r="35">
      <c r="A35" s="8"/>
    </row>
    <row r="36">
      <c r="A36" s="8"/>
    </row>
    <row r="37">
      <c r="A37" s="8"/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25"/>
    <col customWidth="1" min="2" max="2" width="43.63"/>
    <col customWidth="1" min="3" max="3" width="55.25"/>
    <col customWidth="1" min="4" max="4" width="18.88"/>
    <col customWidth="1" min="5" max="5" width="22.0"/>
    <col customWidth="1" min="6" max="12" width="18.88"/>
    <col customWidth="1" min="13" max="13" width="23.5"/>
    <col customWidth="1" min="14" max="14" width="43.63"/>
    <col customWidth="1" min="15" max="15" width="46.5"/>
    <col customWidth="1" min="16" max="16" width="18.88"/>
    <col customWidth="1" min="17" max="17" width="22.0"/>
    <col customWidth="1" min="18" max="24" width="18.88"/>
  </cols>
  <sheetData>
    <row r="1" ht="21.75" customHeight="1">
      <c r="A1" s="44" t="str">
        <f>IFERROR(__xludf.DUMMYFUNCTION("{ 'Respuestas de formulario 1'!A1:F1 ; SORT(FILTER('Respuestas de formulario 1'!A2:F1000, ('Respuestas de formulario 1'!D2:D1000 &lt;= TODAY()) * ('Respuestas de formulario 1'!D2:D1000 &lt;&gt; """")), 2, 1, 4, 1) }"),"Marca temporal")</f>
        <v>Marca temporal</v>
      </c>
      <c r="B1" s="44" t="str">
        <f>IFERROR(__xludf.DUMMYFUNCTION("""COMPUTED_VALUE"""),"Cliente")</f>
        <v>Cliente</v>
      </c>
      <c r="C1" s="44" t="str">
        <f>IFERROR(__xludf.DUMMYFUNCTION("""COMPUTED_VALUE"""),"Servicio Realizado")</f>
        <v>Servicio Realizado</v>
      </c>
      <c r="D1" s="44" t="str">
        <f>IFERROR(__xludf.DUMMYFUNCTION("""COMPUTED_VALUE"""),"Fecha del Servicio")</f>
        <v>Fecha del Servicio</v>
      </c>
      <c r="E1" s="44" t="str">
        <f>IFERROR(__xludf.DUMMYFUNCTION("""COMPUTED_VALUE"""),"Notas / Observaciones")</f>
        <v>Notas / Observaciones</v>
      </c>
      <c r="F1" s="45" t="str">
        <f>IFERROR(__xludf.DUMMYFUNCTION("""COMPUTED_VALUE"""),"Operario")</f>
        <v>Operario</v>
      </c>
      <c r="G1" s="46"/>
      <c r="H1" s="46"/>
      <c r="I1" s="46"/>
      <c r="J1" s="46"/>
      <c r="K1" s="46"/>
      <c r="L1" s="46"/>
      <c r="M1" s="44"/>
      <c r="N1" s="44"/>
      <c r="O1" s="44"/>
      <c r="P1" s="44"/>
      <c r="Q1" s="44"/>
      <c r="R1" s="45"/>
      <c r="S1" s="46"/>
      <c r="T1" s="46"/>
      <c r="U1" s="46"/>
      <c r="V1" s="46"/>
      <c r="W1" s="46"/>
      <c r="X1" s="46"/>
      <c r="Y1" s="46"/>
      <c r="Z1" s="46"/>
      <c r="AA1" s="46"/>
    </row>
    <row r="2" ht="19.5" customHeight="1">
      <c r="A2" s="47">
        <f>IFERROR(__xludf.DUMMYFUNCTION("""COMPUTED_VALUE"""),46162.71590137732)</f>
        <v>46162.7159</v>
      </c>
      <c r="B2" s="48" t="str">
        <f>IFERROR(__xludf.DUMMYFUNCTION("""COMPUTED_VALUE"""),"AEPV")</f>
        <v>AEPV</v>
      </c>
      <c r="C2" s="48" t="str">
        <f>IFERROR(__xludf.DUMMYFUNCTION("""COMPUTED_VALUE"""),"Ventanas")</f>
        <v>Ventanas</v>
      </c>
      <c r="D2" s="49">
        <f>IFERROR(__xludf.DUMMYFUNCTION("""COMPUTED_VALUE"""),46162.0)</f>
        <v>46162</v>
      </c>
      <c r="E2" s="50"/>
      <c r="F2" s="51"/>
      <c r="G2" s="50"/>
      <c r="H2" s="50"/>
      <c r="I2" s="50"/>
      <c r="J2" s="50"/>
      <c r="K2" s="50"/>
      <c r="L2" s="50"/>
      <c r="M2" s="52"/>
      <c r="N2" s="48"/>
      <c r="O2" s="48"/>
      <c r="P2" s="53"/>
      <c r="Q2" s="50"/>
      <c r="R2" s="48"/>
      <c r="S2" s="50"/>
      <c r="T2" s="50"/>
      <c r="U2" s="50"/>
      <c r="V2" s="50"/>
      <c r="W2" s="50"/>
      <c r="X2" s="50"/>
      <c r="Y2" s="50"/>
      <c r="Z2" s="50"/>
      <c r="AA2" s="50"/>
    </row>
    <row r="3" ht="19.5" customHeight="1">
      <c r="A3" s="47">
        <f>IFERROR(__xludf.DUMMYFUNCTION("""COMPUTED_VALUE"""),46142.447930208335)</f>
        <v>46142.44793</v>
      </c>
      <c r="B3" s="48" t="str">
        <f>IFERROR(__xludf.DUMMYFUNCTION("""COMPUTED_VALUE"""),"Alboraya, 10")</f>
        <v>Alboraya, 10</v>
      </c>
      <c r="C3" s="48" t="str">
        <f>IFERROR(__xludf.DUMMYFUNCTION("""COMPUTED_VALUE"""),"Ventanas, Puerta Patio, Alicatado zaguán")</f>
        <v>Ventanas, Puerta Patio, Alicatado zaguán</v>
      </c>
      <c r="D3" s="49">
        <f>IFERROR(__xludf.DUMMYFUNCTION("""COMPUTED_VALUE"""),46044.0)</f>
        <v>46044</v>
      </c>
      <c r="E3" s="50"/>
      <c r="F3" s="51" t="str">
        <f>IFERROR(__xludf.DUMMYFUNCTION("""COMPUTED_VALUE"""),"Ivan")</f>
        <v>Ivan</v>
      </c>
      <c r="G3" s="50"/>
      <c r="H3" s="50"/>
      <c r="I3" s="50"/>
      <c r="J3" s="50"/>
      <c r="K3" s="50"/>
      <c r="L3" s="50"/>
      <c r="M3" s="52"/>
      <c r="N3" s="48"/>
      <c r="O3" s="48"/>
      <c r="P3" s="53"/>
      <c r="Q3" s="50"/>
      <c r="R3" s="48"/>
      <c r="S3" s="50"/>
      <c r="T3" s="50"/>
      <c r="U3" s="50"/>
      <c r="V3" s="50"/>
      <c r="W3" s="50"/>
      <c r="X3" s="50"/>
      <c r="Y3" s="50"/>
      <c r="Z3" s="50"/>
      <c r="AA3" s="50"/>
    </row>
    <row r="4" ht="19.5" customHeight="1">
      <c r="A4" s="47">
        <f>IFERROR(__xludf.DUMMYFUNCTION("""COMPUTED_VALUE"""),46142.42804197917)</f>
        <v>46142.42804</v>
      </c>
      <c r="B4" s="48" t="str">
        <f>IFERROR(__xludf.DUMMYFUNCTION("""COMPUTED_VALUE"""),"Alboraya, 10")</f>
        <v>Alboraya, 10</v>
      </c>
      <c r="C4" s="48" t="str">
        <f>IFERROR(__xludf.DUMMYFUNCTION("""COMPUTED_VALUE"""),"Ventanas, Puerta Patio, Terraza, Alicatado zaguán")</f>
        <v>Ventanas, Puerta Patio, Terraza, Alicatado zaguán</v>
      </c>
      <c r="D4" s="49">
        <f>IFERROR(__xludf.DUMMYFUNCTION("""COMPUTED_VALUE"""),46085.0)</f>
        <v>46085</v>
      </c>
      <c r="E4" s="50"/>
      <c r="F4" s="51" t="str">
        <f>IFERROR(__xludf.DUMMYFUNCTION("""COMPUTED_VALUE"""),"Ivan")</f>
        <v>Ivan</v>
      </c>
      <c r="G4" s="50"/>
      <c r="H4" s="50"/>
      <c r="I4" s="50"/>
      <c r="J4" s="50"/>
      <c r="K4" s="50"/>
      <c r="L4" s="50"/>
      <c r="M4" s="52"/>
      <c r="N4" s="48"/>
      <c r="O4" s="48"/>
      <c r="P4" s="53"/>
      <c r="Q4" s="50"/>
      <c r="R4" s="48"/>
      <c r="S4" s="50"/>
      <c r="T4" s="50"/>
      <c r="U4" s="50"/>
      <c r="V4" s="50"/>
      <c r="W4" s="50"/>
      <c r="X4" s="50"/>
      <c r="Y4" s="50"/>
      <c r="Z4" s="50"/>
      <c r="AA4" s="50"/>
    </row>
    <row r="5" ht="19.5" customHeight="1">
      <c r="A5" s="47">
        <f>IFERROR(__xludf.DUMMYFUNCTION("""COMPUTED_VALUE"""),46142.3925819213)</f>
        <v>46142.39258</v>
      </c>
      <c r="B5" s="48" t="str">
        <f>IFERROR(__xludf.DUMMYFUNCTION("""COMPUTED_VALUE"""),"Alboraya, 10")</f>
        <v>Alboraya, 10</v>
      </c>
      <c r="C5" s="48" t="str">
        <f>IFERROR(__xludf.DUMMYFUNCTION("""COMPUTED_VALUE"""),"Ventanas, Puerta Patio, Alicatado zaguán, Luminaria")</f>
        <v>Ventanas, Puerta Patio, Alicatado zaguán, Luminaria</v>
      </c>
      <c r="D5" s="49">
        <f>IFERROR(__xludf.DUMMYFUNCTION("""COMPUTED_VALUE"""),46140.0)</f>
        <v>46140</v>
      </c>
      <c r="E5" s="50"/>
      <c r="F5" s="51" t="str">
        <f>IFERROR(__xludf.DUMMYFUNCTION("""COMPUTED_VALUE"""),"Ivan")</f>
        <v>Ivan</v>
      </c>
      <c r="G5" s="50"/>
      <c r="H5" s="50"/>
      <c r="I5" s="50"/>
      <c r="J5" s="50"/>
      <c r="K5" s="50"/>
      <c r="L5" s="50"/>
      <c r="M5" s="52"/>
      <c r="N5" s="48"/>
      <c r="O5" s="48"/>
      <c r="P5" s="53"/>
      <c r="Q5" s="50"/>
      <c r="R5" s="48"/>
      <c r="S5" s="50"/>
      <c r="T5" s="50"/>
      <c r="U5" s="50"/>
      <c r="V5" s="50"/>
      <c r="W5" s="50"/>
      <c r="X5" s="50"/>
      <c r="Y5" s="50"/>
      <c r="Z5" s="50"/>
      <c r="AA5" s="50"/>
    </row>
    <row r="6" ht="19.5" customHeight="1">
      <c r="A6" s="47">
        <f>IFERROR(__xludf.DUMMYFUNCTION("""COMPUTED_VALUE"""),46144.83174925926)</f>
        <v>46144.83175</v>
      </c>
      <c r="B6" s="48" t="str">
        <f>IFERROR(__xludf.DUMMYFUNCTION("""COMPUTED_VALUE"""),"Arquitecto Alfaro, 25")</f>
        <v>Arquitecto Alfaro, 25</v>
      </c>
      <c r="C6" s="48" t="str">
        <f>IFERROR(__xludf.DUMMYFUNCTION("""COMPUTED_VALUE"""),"Pasaje")</f>
        <v>Pasaje</v>
      </c>
      <c r="D6" s="49">
        <f>IFERROR(__xludf.DUMMYFUNCTION("""COMPUTED_VALUE"""),46144.0)</f>
        <v>46144</v>
      </c>
      <c r="E6" s="50"/>
      <c r="F6" s="51"/>
      <c r="G6" s="50"/>
      <c r="H6" s="50"/>
      <c r="I6" s="50"/>
      <c r="J6" s="50"/>
      <c r="K6" s="50"/>
      <c r="L6" s="50"/>
      <c r="M6" s="52"/>
      <c r="N6" s="48"/>
      <c r="O6" s="48"/>
      <c r="P6" s="53"/>
      <c r="Q6" s="50"/>
      <c r="R6" s="48"/>
      <c r="S6" s="50"/>
      <c r="T6" s="50"/>
      <c r="U6" s="50"/>
      <c r="V6" s="50"/>
      <c r="W6" s="50"/>
      <c r="X6" s="50"/>
      <c r="Y6" s="50"/>
      <c r="Z6" s="50"/>
      <c r="AA6" s="50"/>
    </row>
    <row r="7" ht="19.5" customHeight="1">
      <c r="A7" s="47">
        <f>IFERROR(__xludf.DUMMYFUNCTION("""COMPUTED_VALUE"""),46142.449749583335)</f>
        <v>46142.44975</v>
      </c>
      <c r="B7" s="48" t="str">
        <f>IFERROR(__xludf.DUMMYFUNCTION("""COMPUTED_VALUE"""),"Bellús, 1")</f>
        <v>Bellús, 1</v>
      </c>
      <c r="C7" s="48" t="str">
        <f>IFERROR(__xludf.DUMMYFUNCTION("""COMPUTED_VALUE"""),"Ventanas, Puerta Patio, Alicatado zaguán")</f>
        <v>Ventanas, Puerta Patio, Alicatado zaguán</v>
      </c>
      <c r="D7" s="49">
        <f>IFERROR(__xludf.DUMMYFUNCTION("""COMPUTED_VALUE"""),46092.0)</f>
        <v>46092</v>
      </c>
      <c r="E7" s="50"/>
      <c r="F7" s="51" t="str">
        <f>IFERROR(__xludf.DUMMYFUNCTION("""COMPUTED_VALUE"""),"Ivan")</f>
        <v>Ivan</v>
      </c>
      <c r="G7" s="50"/>
      <c r="H7" s="50"/>
      <c r="I7" s="50"/>
      <c r="J7" s="50"/>
      <c r="K7" s="50"/>
      <c r="L7" s="50"/>
      <c r="M7" s="52"/>
      <c r="N7" s="48"/>
      <c r="O7" s="48"/>
      <c r="P7" s="53"/>
      <c r="Q7" s="50"/>
      <c r="R7" s="48"/>
      <c r="S7" s="50"/>
      <c r="T7" s="50"/>
      <c r="U7" s="50"/>
      <c r="V7" s="50"/>
      <c r="W7" s="50"/>
      <c r="X7" s="50"/>
      <c r="Y7" s="50"/>
      <c r="Z7" s="50"/>
      <c r="AA7" s="50"/>
    </row>
    <row r="8" ht="19.5" customHeight="1">
      <c r="A8" s="47">
        <f>IFERROR(__xludf.DUMMYFUNCTION("""COMPUTED_VALUE"""),46142.39289282408)</f>
        <v>46142.39289</v>
      </c>
      <c r="B8" s="48" t="str">
        <f>IFERROR(__xludf.DUMMYFUNCTION("""COMPUTED_VALUE"""),"Bellús, 1")</f>
        <v>Bellús, 1</v>
      </c>
      <c r="C8" s="48" t="str">
        <f>IFERROR(__xludf.DUMMYFUNCTION("""COMPUTED_VALUE"""),"Ventanas, Puerta Patio, Alicatado zaguán")</f>
        <v>Ventanas, Puerta Patio, Alicatado zaguán</v>
      </c>
      <c r="D8" s="49">
        <f>IFERROR(__xludf.DUMMYFUNCTION("""COMPUTED_VALUE"""),46140.0)</f>
        <v>46140</v>
      </c>
      <c r="E8" s="50"/>
      <c r="F8" s="51" t="str">
        <f>IFERROR(__xludf.DUMMYFUNCTION("""COMPUTED_VALUE"""),"Ivan ")</f>
        <v>Ivan </v>
      </c>
      <c r="G8" s="50"/>
      <c r="H8" s="50"/>
      <c r="I8" s="50"/>
      <c r="J8" s="50"/>
      <c r="K8" s="50"/>
      <c r="L8" s="50"/>
      <c r="M8" s="52"/>
      <c r="N8" s="48"/>
      <c r="O8" s="48"/>
      <c r="P8" s="53"/>
      <c r="Q8" s="50"/>
      <c r="R8" s="48"/>
      <c r="S8" s="50"/>
      <c r="T8" s="50"/>
      <c r="U8" s="50"/>
      <c r="V8" s="50"/>
      <c r="W8" s="50"/>
      <c r="X8" s="50"/>
      <c r="Y8" s="50"/>
      <c r="Z8" s="50"/>
      <c r="AA8" s="50"/>
    </row>
    <row r="9" ht="19.5" customHeight="1">
      <c r="A9" s="47">
        <f>IFERROR(__xludf.DUMMYFUNCTION("""COMPUTED_VALUE"""),46142.39364744213)</f>
        <v>46142.39365</v>
      </c>
      <c r="B9" s="48" t="str">
        <f>IFERROR(__xludf.DUMMYFUNCTION("""COMPUTED_VALUE"""),"Daroca, 26")</f>
        <v>Daroca, 26</v>
      </c>
      <c r="C9" s="48" t="str">
        <f>IFERROR(__xludf.DUMMYFUNCTION("""COMPUTED_VALUE"""),"Ventanas, Puerta Patio, Terraza, Alicatado zaguán")</f>
        <v>Ventanas, Puerta Patio, Terraza, Alicatado zaguán</v>
      </c>
      <c r="D9" s="49">
        <f>IFERROR(__xludf.DUMMYFUNCTION("""COMPUTED_VALUE"""),46140.0)</f>
        <v>46140</v>
      </c>
      <c r="E9" s="50"/>
      <c r="F9" s="51" t="str">
        <f>IFERROR(__xludf.DUMMYFUNCTION("""COMPUTED_VALUE"""),"Ivan")</f>
        <v>Ivan</v>
      </c>
      <c r="G9" s="50"/>
      <c r="H9" s="50"/>
      <c r="I9" s="50"/>
      <c r="J9" s="50"/>
      <c r="K9" s="50"/>
      <c r="L9" s="50"/>
      <c r="M9" s="52"/>
      <c r="N9" s="48"/>
      <c r="O9" s="48"/>
      <c r="P9" s="53"/>
      <c r="Q9" s="50"/>
      <c r="R9" s="48"/>
      <c r="S9" s="50"/>
      <c r="T9" s="50"/>
      <c r="U9" s="50"/>
      <c r="V9" s="50"/>
      <c r="W9" s="50"/>
      <c r="X9" s="50"/>
      <c r="Y9" s="50"/>
      <c r="Z9" s="50"/>
      <c r="AA9" s="50"/>
    </row>
    <row r="10" ht="19.5" customHeight="1">
      <c r="A10" s="47">
        <f>IFERROR(__xludf.DUMMYFUNCTION("""COMPUTED_VALUE"""),46162.769890717595)</f>
        <v>46162.76989</v>
      </c>
      <c r="B10" s="48" t="str">
        <f>IFERROR(__xludf.DUMMYFUNCTION("""COMPUTED_VALUE"""),"FEV")</f>
        <v>FEV</v>
      </c>
      <c r="C10" s="48" t="str">
        <f>IFERROR(__xludf.DUMMYFUNCTION("""COMPUTED_VALUE"""),"Cristales")</f>
        <v>Cristales</v>
      </c>
      <c r="D10" s="49">
        <f>IFERROR(__xludf.DUMMYFUNCTION("""COMPUTED_VALUE"""),46162.0)</f>
        <v>46162</v>
      </c>
      <c r="E10" s="50"/>
      <c r="F10" s="51"/>
      <c r="G10" s="50"/>
      <c r="H10" s="50"/>
      <c r="I10" s="50"/>
      <c r="J10" s="50"/>
      <c r="K10" s="50"/>
      <c r="L10" s="50"/>
      <c r="M10" s="52"/>
      <c r="N10" s="48"/>
      <c r="O10" s="48"/>
      <c r="P10" s="53"/>
      <c r="Q10" s="50"/>
      <c r="R10" s="48"/>
      <c r="S10" s="50"/>
      <c r="T10" s="50"/>
      <c r="U10" s="50"/>
      <c r="V10" s="50"/>
      <c r="W10" s="50"/>
      <c r="X10" s="50"/>
      <c r="Y10" s="50"/>
      <c r="Z10" s="50"/>
      <c r="AA10" s="50"/>
    </row>
    <row r="11" ht="19.5" customHeight="1">
      <c r="A11" s="47">
        <f>IFERROR(__xludf.DUMMYFUNCTION("""COMPUTED_VALUE"""),46162.77086563657)</f>
        <v>46162.77087</v>
      </c>
      <c r="B11" s="48" t="str">
        <f>IFERROR(__xludf.DUMMYFUNCTION("""COMPUTED_VALUE"""),"FEV")</f>
        <v>FEV</v>
      </c>
      <c r="C11" s="48" t="str">
        <f>IFERROR(__xludf.DUMMYFUNCTION("""COMPUTED_VALUE"""),"Ventanas")</f>
        <v>Ventanas</v>
      </c>
      <c r="D11" s="49">
        <f>IFERROR(__xludf.DUMMYFUNCTION("""COMPUTED_VALUE"""),46162.0)</f>
        <v>46162</v>
      </c>
      <c r="E11" s="50"/>
      <c r="F11" s="51"/>
      <c r="G11" s="50"/>
      <c r="H11" s="50"/>
      <c r="I11" s="50"/>
      <c r="J11" s="50"/>
      <c r="K11" s="50"/>
      <c r="L11" s="50"/>
      <c r="M11" s="52"/>
      <c r="N11" s="48"/>
      <c r="O11" s="48"/>
      <c r="P11" s="53"/>
      <c r="Q11" s="50"/>
      <c r="R11" s="48"/>
      <c r="S11" s="50"/>
      <c r="T11" s="50"/>
      <c r="U11" s="50"/>
      <c r="V11" s="50"/>
      <c r="W11" s="50"/>
      <c r="X11" s="50"/>
      <c r="Y11" s="50"/>
      <c r="Z11" s="50"/>
      <c r="AA11" s="50"/>
    </row>
    <row r="12" ht="19.5" customHeight="1">
      <c r="A12" s="47">
        <f>IFERROR(__xludf.DUMMYFUNCTION("""COMPUTED_VALUE"""),46142.39423908565)</f>
        <v>46142.39424</v>
      </c>
      <c r="B12" s="48" t="str">
        <f>IFERROR(__xludf.DUMMYFUNCTION("""COMPUTED_VALUE"""),"Músico Cabanilles, 42")</f>
        <v>Músico Cabanilles, 42</v>
      </c>
      <c r="C12" s="48" t="str">
        <f>IFERROR(__xludf.DUMMYFUNCTION("""COMPUTED_VALUE"""),"Ventanas, Puerta Patio, Terraza, Alicatado zaguán")</f>
        <v>Ventanas, Puerta Patio, Terraza, Alicatado zaguán</v>
      </c>
      <c r="D12" s="49">
        <f>IFERROR(__xludf.DUMMYFUNCTION("""COMPUTED_VALUE"""),46140.0)</f>
        <v>46140</v>
      </c>
      <c r="E12" s="50"/>
      <c r="F12" s="51" t="str">
        <f>IFERROR(__xludf.DUMMYFUNCTION("""COMPUTED_VALUE"""),"Ivan")</f>
        <v>Ivan</v>
      </c>
      <c r="G12" s="50"/>
      <c r="H12" s="50"/>
      <c r="I12" s="50"/>
      <c r="J12" s="50"/>
      <c r="K12" s="50"/>
      <c r="L12" s="50"/>
      <c r="M12" s="52"/>
      <c r="N12" s="48"/>
      <c r="O12" s="48"/>
      <c r="P12" s="53"/>
      <c r="Q12" s="50"/>
      <c r="R12" s="48"/>
      <c r="S12" s="50"/>
      <c r="T12" s="50"/>
      <c r="U12" s="50"/>
      <c r="V12" s="50"/>
      <c r="W12" s="50"/>
      <c r="X12" s="50"/>
      <c r="Y12" s="50"/>
      <c r="Z12" s="50"/>
      <c r="AA12" s="50"/>
    </row>
    <row r="13" ht="19.5" customHeight="1">
      <c r="A13" s="47">
        <f>IFERROR(__xludf.DUMMYFUNCTION("""COMPUTED_VALUE"""),46142.39579765046)</f>
        <v>46142.3958</v>
      </c>
      <c r="B13" s="48" t="str">
        <f>IFERROR(__xludf.DUMMYFUNCTION("""COMPUTED_VALUE"""),"PDBF, 1")</f>
        <v>PDBF, 1</v>
      </c>
      <c r="C13" s="48" t="str">
        <f>IFERROR(__xludf.DUMMYFUNCTION("""COMPUTED_VALUE"""),"Ventanas, Puerta Patio, Terraza, Alicatado zaguán, Luminaria")</f>
        <v>Ventanas, Puerta Patio, Terraza, Alicatado zaguán, Luminaria</v>
      </c>
      <c r="D13" s="49">
        <f>IFERROR(__xludf.DUMMYFUNCTION("""COMPUTED_VALUE"""),46140.0)</f>
        <v>46140</v>
      </c>
      <c r="E13" s="50"/>
      <c r="F13" s="51" t="str">
        <f>IFERROR(__xludf.DUMMYFUNCTION("""COMPUTED_VALUE"""),"Ivan")</f>
        <v>Ivan</v>
      </c>
      <c r="G13" s="50"/>
      <c r="H13" s="50"/>
      <c r="I13" s="50"/>
      <c r="J13" s="50"/>
      <c r="K13" s="50"/>
      <c r="L13" s="50"/>
      <c r="M13" s="52"/>
      <c r="N13" s="48"/>
      <c r="O13" s="48"/>
      <c r="P13" s="53"/>
      <c r="Q13" s="50"/>
      <c r="R13" s="48"/>
      <c r="S13" s="50"/>
      <c r="T13" s="50"/>
      <c r="U13" s="50"/>
      <c r="V13" s="50"/>
      <c r="W13" s="50"/>
      <c r="X13" s="50"/>
      <c r="Y13" s="50"/>
      <c r="Z13" s="50"/>
      <c r="AA13" s="50"/>
    </row>
    <row r="14" ht="19.5" customHeight="1">
      <c r="A14" s="47">
        <f>IFERROR(__xludf.DUMMYFUNCTION("""COMPUTED_VALUE"""),46142.396089988426)</f>
        <v>46142.39609</v>
      </c>
      <c r="B14" s="48" t="str">
        <f>IFERROR(__xludf.DUMMYFUNCTION("""COMPUTED_VALUE"""),"PDBF, 2")</f>
        <v>PDBF, 2</v>
      </c>
      <c r="C14" s="48" t="str">
        <f>IFERROR(__xludf.DUMMYFUNCTION("""COMPUTED_VALUE"""),"Ventanas, Puerta Patio, Terraza, Alicatado zaguán")</f>
        <v>Ventanas, Puerta Patio, Terraza, Alicatado zaguán</v>
      </c>
      <c r="D14" s="49">
        <f>IFERROR(__xludf.DUMMYFUNCTION("""COMPUTED_VALUE"""),46140.0)</f>
        <v>46140</v>
      </c>
      <c r="E14" s="50"/>
      <c r="F14" s="51" t="str">
        <f>IFERROR(__xludf.DUMMYFUNCTION("""COMPUTED_VALUE"""),"Ivan")</f>
        <v>Ivan</v>
      </c>
      <c r="G14" s="50"/>
      <c r="H14" s="50"/>
      <c r="I14" s="50"/>
      <c r="J14" s="50"/>
      <c r="K14" s="50"/>
      <c r="L14" s="50"/>
      <c r="M14" s="52"/>
      <c r="N14" s="48"/>
      <c r="O14" s="48"/>
      <c r="P14" s="53"/>
      <c r="Q14" s="50"/>
      <c r="R14" s="48"/>
      <c r="S14" s="50"/>
      <c r="T14" s="50"/>
      <c r="U14" s="50"/>
      <c r="V14" s="50"/>
      <c r="W14" s="50"/>
      <c r="X14" s="50"/>
      <c r="Y14" s="50"/>
      <c r="Z14" s="50"/>
      <c r="AA14" s="50"/>
    </row>
    <row r="15" ht="19.5" customHeight="1">
      <c r="A15" s="47">
        <f>IFERROR(__xludf.DUMMYFUNCTION("""COMPUTED_VALUE"""),46145.44536541667)</f>
        <v>46145.44537</v>
      </c>
      <c r="B15" s="48" t="str">
        <f>IFERROR(__xludf.DUMMYFUNCTION("""COMPUTED_VALUE"""),"PDBF, 2")</f>
        <v>PDBF, 2</v>
      </c>
      <c r="C15" s="48" t="str">
        <f>IFERROR(__xludf.DUMMYFUNCTION("""COMPUTED_VALUE"""),"Ventanas, Puerta Patio")</f>
        <v>Ventanas, Puerta Patio</v>
      </c>
      <c r="D15" s="49">
        <f>IFERROR(__xludf.DUMMYFUNCTION("""COMPUTED_VALUE"""),46145.0)</f>
        <v>46145</v>
      </c>
      <c r="E15" s="50"/>
      <c r="F15" s="51"/>
      <c r="G15" s="50"/>
      <c r="H15" s="50"/>
      <c r="I15" s="50"/>
      <c r="J15" s="50"/>
      <c r="K15" s="50"/>
      <c r="L15" s="50"/>
      <c r="M15" s="52"/>
      <c r="N15" s="48"/>
      <c r="O15" s="48"/>
      <c r="P15" s="53"/>
      <c r="Q15" s="50"/>
      <c r="R15" s="48"/>
      <c r="S15" s="50"/>
      <c r="T15" s="50"/>
      <c r="U15" s="50"/>
      <c r="V15" s="50"/>
      <c r="W15" s="50"/>
      <c r="X15" s="50"/>
      <c r="Y15" s="50"/>
      <c r="Z15" s="50"/>
      <c r="AA15" s="50"/>
    </row>
    <row r="16" ht="19.5" customHeight="1">
      <c r="A16" s="47">
        <f>IFERROR(__xludf.DUMMYFUNCTION("""COMPUTED_VALUE"""),46142.39323638889)</f>
        <v>46142.39324</v>
      </c>
      <c r="B16" s="48" t="str">
        <f>IFERROR(__xludf.DUMMYFUNCTION("""COMPUTED_VALUE"""),"Pintor Genaro Lahuerta, 45")</f>
        <v>Pintor Genaro Lahuerta, 45</v>
      </c>
      <c r="C16" s="48" t="str">
        <f>IFERROR(__xludf.DUMMYFUNCTION("""COMPUTED_VALUE"""),"Ventanas, Puerta Patio, Alicatado zaguán")</f>
        <v>Ventanas, Puerta Patio, Alicatado zaguán</v>
      </c>
      <c r="D16" s="49">
        <f>IFERROR(__xludf.DUMMYFUNCTION("""COMPUTED_VALUE"""),46140.0)</f>
        <v>46140</v>
      </c>
      <c r="E16" s="50"/>
      <c r="F16" s="51" t="str">
        <f>IFERROR(__xludf.DUMMYFUNCTION("""COMPUTED_VALUE"""),"Ivan")</f>
        <v>Ivan</v>
      </c>
      <c r="G16" s="50"/>
      <c r="H16" s="50"/>
      <c r="I16" s="50"/>
      <c r="J16" s="50"/>
      <c r="K16" s="50"/>
      <c r="L16" s="50"/>
      <c r="M16" s="52"/>
      <c r="N16" s="48"/>
      <c r="O16" s="48"/>
      <c r="P16" s="53"/>
      <c r="Q16" s="50"/>
      <c r="R16" s="48"/>
      <c r="S16" s="50"/>
      <c r="T16" s="50"/>
      <c r="U16" s="50"/>
      <c r="V16" s="50"/>
      <c r="W16" s="50"/>
      <c r="X16" s="50"/>
      <c r="Y16" s="50"/>
      <c r="Z16" s="50"/>
      <c r="AA16" s="50"/>
    </row>
    <row r="17" ht="19.5" customHeight="1">
      <c r="A17" s="47">
        <f>IFERROR(__xludf.DUMMYFUNCTION("""COMPUTED_VALUE"""),46142.39628811342)</f>
        <v>46142.39629</v>
      </c>
      <c r="B17" s="48" t="str">
        <f>IFERROR(__xludf.DUMMYFUNCTION("""COMPUTED_VALUE"""),"Plaza Dramaturgo Fausto Hernández Casajuana, 2")</f>
        <v>Plaza Dramaturgo Fausto Hernández Casajuana, 2</v>
      </c>
      <c r="C17" s="48" t="str">
        <f>IFERROR(__xludf.DUMMYFUNCTION("""COMPUTED_VALUE"""),"Puerta Patio")</f>
        <v>Puerta Patio</v>
      </c>
      <c r="D17" s="49">
        <f>IFERROR(__xludf.DUMMYFUNCTION("""COMPUTED_VALUE"""),46140.0)</f>
        <v>46140</v>
      </c>
      <c r="E17" s="50"/>
      <c r="F17" s="51" t="str">
        <f>IFERROR(__xludf.DUMMYFUNCTION("""COMPUTED_VALUE"""),"Ivan")</f>
        <v>Ivan</v>
      </c>
      <c r="G17" s="50"/>
      <c r="H17" s="50"/>
      <c r="I17" s="50"/>
      <c r="J17" s="50"/>
      <c r="K17" s="50"/>
      <c r="L17" s="50"/>
      <c r="M17" s="52"/>
      <c r="N17" s="48"/>
      <c r="O17" s="48"/>
      <c r="P17" s="53"/>
      <c r="Q17" s="50"/>
      <c r="R17" s="48"/>
      <c r="S17" s="50"/>
      <c r="T17" s="50"/>
      <c r="U17" s="50"/>
      <c r="V17" s="50"/>
      <c r="W17" s="50"/>
      <c r="X17" s="50"/>
      <c r="Y17" s="50"/>
      <c r="Z17" s="50"/>
      <c r="AA17" s="50"/>
    </row>
    <row r="18" ht="19.5" customHeight="1">
      <c r="A18" s="47">
        <f>IFERROR(__xludf.DUMMYFUNCTION("""COMPUTED_VALUE"""),46162.634519363426)</f>
        <v>46162.63452</v>
      </c>
      <c r="B18" s="48" t="str">
        <f>IFERROR(__xludf.DUMMYFUNCTION("""COMPUTED_VALUE"""),"VW Group Services")</f>
        <v>VW Group Services</v>
      </c>
      <c r="C18" s="48" t="str">
        <f>IFERROR(__xludf.DUMMYFUNCTION("""COMPUTED_VALUE"""),"Ventanas")</f>
        <v>Ventanas</v>
      </c>
      <c r="D18" s="49">
        <f>IFERROR(__xludf.DUMMYFUNCTION("""COMPUTED_VALUE"""),46162.0)</f>
        <v>46162</v>
      </c>
      <c r="E18" s="50"/>
      <c r="F18" s="51"/>
      <c r="G18" s="50"/>
      <c r="H18" s="50"/>
      <c r="I18" s="50"/>
      <c r="J18" s="50"/>
      <c r="K18" s="50"/>
      <c r="L18" s="50"/>
      <c r="M18" s="52"/>
      <c r="N18" s="48"/>
      <c r="O18" s="48"/>
      <c r="P18" s="53"/>
      <c r="Q18" s="50"/>
      <c r="R18" s="48"/>
      <c r="S18" s="50"/>
      <c r="T18" s="50"/>
      <c r="U18" s="50"/>
      <c r="V18" s="50"/>
      <c r="W18" s="50"/>
      <c r="X18" s="50"/>
      <c r="Y18" s="50"/>
      <c r="Z18" s="50"/>
      <c r="AA18" s="50"/>
    </row>
    <row r="19" ht="19.5" customHeight="1">
      <c r="A19" s="47"/>
      <c r="B19" s="48"/>
      <c r="C19" s="48"/>
      <c r="D19" s="49"/>
      <c r="E19" s="50"/>
      <c r="F19" s="51"/>
      <c r="G19" s="50"/>
      <c r="H19" s="50"/>
      <c r="I19" s="50"/>
      <c r="J19" s="50"/>
      <c r="K19" s="50"/>
      <c r="L19" s="50"/>
      <c r="M19" s="52"/>
      <c r="N19" s="48"/>
      <c r="O19" s="48"/>
      <c r="P19" s="53"/>
      <c r="Q19" s="50"/>
      <c r="R19" s="48"/>
      <c r="S19" s="50"/>
      <c r="T19" s="50"/>
      <c r="U19" s="50"/>
      <c r="V19" s="50"/>
      <c r="W19" s="50"/>
      <c r="X19" s="50"/>
      <c r="Y19" s="50"/>
      <c r="Z19" s="50"/>
      <c r="AA19" s="50"/>
    </row>
    <row r="20">
      <c r="A20" s="54"/>
      <c r="B20" s="55"/>
      <c r="C20" s="55"/>
      <c r="D20" s="56"/>
      <c r="E20" s="55"/>
      <c r="F20" s="54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</row>
    <row r="21">
      <c r="A21" s="54"/>
      <c r="B21" s="55"/>
      <c r="C21" s="55"/>
      <c r="D21" s="56"/>
      <c r="E21" s="55"/>
      <c r="F21" s="54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</row>
    <row r="22">
      <c r="A22" s="54"/>
      <c r="B22" s="55"/>
      <c r="C22" s="55"/>
      <c r="D22" s="56"/>
      <c r="E22" s="55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</row>
    <row r="23">
      <c r="A23" s="54"/>
      <c r="B23" s="55"/>
      <c r="C23" s="55"/>
      <c r="D23" s="56"/>
      <c r="E23" s="55"/>
      <c r="F23" s="54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</row>
    <row r="24">
      <c r="A24" s="54"/>
      <c r="B24" s="55"/>
      <c r="C24" s="55"/>
      <c r="D24" s="56"/>
      <c r="E24" s="55"/>
      <c r="F24" s="54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</row>
    <row r="25">
      <c r="A25" s="54"/>
      <c r="B25" s="55"/>
      <c r="C25" s="55"/>
      <c r="D25" s="56"/>
      <c r="E25" s="55"/>
      <c r="F25" s="54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</row>
    <row r="26">
      <c r="A26" s="54"/>
      <c r="B26" s="55"/>
      <c r="C26" s="55"/>
      <c r="D26" s="56"/>
      <c r="E26" s="55"/>
      <c r="F26" s="54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</row>
    <row r="27">
      <c r="A27" s="54"/>
      <c r="B27" s="55"/>
      <c r="C27" s="55"/>
      <c r="D27" s="56"/>
      <c r="E27" s="55"/>
      <c r="F27" s="54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</row>
    <row r="28">
      <c r="A28" s="54"/>
      <c r="B28" s="55"/>
      <c r="C28" s="55"/>
      <c r="D28" s="56"/>
      <c r="E28" s="55"/>
      <c r="F28" s="54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</row>
    <row r="29">
      <c r="A29" s="54"/>
      <c r="B29" s="55"/>
      <c r="C29" s="55"/>
      <c r="D29" s="56"/>
      <c r="E29" s="55"/>
      <c r="F29" s="54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</row>
    <row r="30">
      <c r="A30" s="54"/>
      <c r="B30" s="55"/>
      <c r="C30" s="55"/>
      <c r="D30" s="56"/>
      <c r="E30" s="55"/>
      <c r="F30" s="54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</row>
    <row r="31">
      <c r="A31" s="54"/>
      <c r="B31" s="55"/>
      <c r="C31" s="55"/>
      <c r="D31" s="56"/>
      <c r="E31" s="55"/>
      <c r="F31" s="54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</row>
    <row r="32">
      <c r="A32" s="54"/>
      <c r="B32" s="55"/>
      <c r="C32" s="55"/>
      <c r="D32" s="56"/>
      <c r="E32" s="55"/>
      <c r="F32" s="54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</row>
    <row r="33">
      <c r="A33" s="54"/>
      <c r="B33" s="55"/>
      <c r="C33" s="55"/>
      <c r="D33" s="56"/>
      <c r="E33" s="55"/>
      <c r="F33" s="54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</row>
    <row r="34">
      <c r="A34" s="54"/>
      <c r="B34" s="55"/>
      <c r="C34" s="55"/>
      <c r="D34" s="56"/>
      <c r="E34" s="55"/>
      <c r="F34" s="54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</row>
    <row r="35">
      <c r="A35" s="54"/>
      <c r="B35" s="55"/>
      <c r="C35" s="55"/>
      <c r="D35" s="56"/>
      <c r="E35" s="55"/>
      <c r="F35" s="54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</row>
    <row r="36">
      <c r="A36" s="54"/>
      <c r="B36" s="55"/>
      <c r="C36" s="55"/>
      <c r="D36" s="56"/>
      <c r="E36" s="55"/>
      <c r="F36" s="54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</row>
    <row r="37">
      <c r="A37" s="54"/>
      <c r="B37" s="55"/>
      <c r="C37" s="55"/>
      <c r="D37" s="56"/>
      <c r="E37" s="55"/>
      <c r="F37" s="54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</row>
    <row r="38">
      <c r="A38" s="54"/>
      <c r="B38" s="55"/>
      <c r="C38" s="55"/>
      <c r="D38" s="56"/>
      <c r="E38" s="55"/>
      <c r="F38" s="54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</row>
    <row r="39">
      <c r="A39" s="54"/>
      <c r="B39" s="55"/>
      <c r="C39" s="55"/>
      <c r="D39" s="56"/>
      <c r="E39" s="55"/>
      <c r="F39" s="54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</row>
    <row r="40">
      <c r="A40" s="54"/>
      <c r="B40" s="55"/>
      <c r="C40" s="55"/>
      <c r="D40" s="56"/>
      <c r="E40" s="55"/>
      <c r="F40" s="54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</row>
    <row r="41">
      <c r="A41" s="54"/>
      <c r="B41" s="55"/>
      <c r="C41" s="55"/>
      <c r="D41" s="56"/>
      <c r="E41" s="55"/>
      <c r="F41" s="54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</row>
    <row r="42">
      <c r="A42" s="54"/>
      <c r="B42" s="55"/>
      <c r="C42" s="55"/>
      <c r="D42" s="56"/>
      <c r="E42" s="55"/>
      <c r="F42" s="54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</row>
    <row r="43">
      <c r="A43" s="54"/>
      <c r="B43" s="55"/>
      <c r="C43" s="55"/>
      <c r="D43" s="56"/>
      <c r="E43" s="55"/>
      <c r="F43" s="54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</row>
    <row r="44">
      <c r="A44" s="54"/>
      <c r="B44" s="55"/>
      <c r="C44" s="55"/>
      <c r="D44" s="56"/>
      <c r="E44" s="55"/>
      <c r="F44" s="54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</row>
    <row r="45">
      <c r="A45" s="54"/>
      <c r="B45" s="55"/>
      <c r="C45" s="55"/>
      <c r="D45" s="56"/>
      <c r="E45" s="55"/>
      <c r="F45" s="54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</row>
    <row r="46">
      <c r="A46" s="54"/>
      <c r="B46" s="55"/>
      <c r="C46" s="55"/>
      <c r="D46" s="56"/>
      <c r="E46" s="55"/>
      <c r="F46" s="54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</row>
    <row r="47">
      <c r="A47" s="54"/>
      <c r="B47" s="55"/>
      <c r="C47" s="55"/>
      <c r="D47" s="56"/>
      <c r="E47" s="55"/>
      <c r="F47" s="54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</row>
    <row r="48">
      <c r="A48" s="54"/>
      <c r="B48" s="55"/>
      <c r="C48" s="55"/>
      <c r="D48" s="56"/>
      <c r="E48" s="55"/>
      <c r="F48" s="54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</row>
    <row r="49">
      <c r="A49" s="54"/>
      <c r="B49" s="55"/>
      <c r="C49" s="55"/>
      <c r="D49" s="56"/>
      <c r="E49" s="55"/>
      <c r="F49" s="54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</row>
    <row r="50">
      <c r="A50" s="54"/>
      <c r="B50" s="55"/>
      <c r="C50" s="55"/>
      <c r="D50" s="56"/>
      <c r="E50" s="55"/>
      <c r="F50" s="54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</row>
    <row r="51">
      <c r="A51" s="54"/>
      <c r="B51" s="55"/>
      <c r="C51" s="55"/>
      <c r="D51" s="56"/>
      <c r="E51" s="55"/>
      <c r="F51" s="54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</row>
    <row r="52">
      <c r="A52" s="54"/>
      <c r="B52" s="55"/>
      <c r="C52" s="55"/>
      <c r="D52" s="56"/>
      <c r="E52" s="55"/>
      <c r="F52" s="54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</row>
    <row r="53">
      <c r="A53" s="54"/>
      <c r="B53" s="55"/>
      <c r="C53" s="55"/>
      <c r="D53" s="56"/>
      <c r="E53" s="55"/>
      <c r="F53" s="54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</row>
    <row r="54">
      <c r="A54" s="54"/>
      <c r="B54" s="55"/>
      <c r="C54" s="55"/>
      <c r="D54" s="56"/>
      <c r="E54" s="55"/>
      <c r="F54" s="54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</row>
    <row r="55">
      <c r="A55" s="54"/>
      <c r="B55" s="55"/>
      <c r="C55" s="55"/>
      <c r="D55" s="56"/>
      <c r="E55" s="55"/>
      <c r="F55" s="54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>
      <c r="A56" s="54"/>
      <c r="B56" s="55"/>
      <c r="C56" s="55"/>
      <c r="D56" s="56"/>
      <c r="E56" s="55"/>
      <c r="F56" s="54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</row>
    <row r="57">
      <c r="A57" s="54"/>
      <c r="B57" s="55"/>
      <c r="C57" s="55"/>
      <c r="D57" s="56"/>
      <c r="E57" s="55"/>
      <c r="F57" s="54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</row>
    <row r="58">
      <c r="A58" s="54"/>
      <c r="B58" s="55"/>
      <c r="C58" s="55"/>
      <c r="D58" s="56"/>
      <c r="E58" s="55"/>
      <c r="F58" s="54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</row>
    <row r="59">
      <c r="A59" s="54"/>
      <c r="B59" s="55"/>
      <c r="C59" s="55"/>
      <c r="D59" s="56"/>
      <c r="E59" s="55"/>
      <c r="F59" s="54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</row>
    <row r="60">
      <c r="A60" s="54"/>
      <c r="B60" s="55"/>
      <c r="C60" s="55"/>
      <c r="D60" s="56"/>
      <c r="E60" s="55"/>
      <c r="F60" s="54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</row>
    <row r="61">
      <c r="A61" s="54"/>
      <c r="B61" s="55"/>
      <c r="C61" s="55"/>
      <c r="D61" s="56"/>
      <c r="E61" s="55"/>
      <c r="F61" s="54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</row>
    <row r="62">
      <c r="A62" s="54"/>
      <c r="B62" s="55"/>
      <c r="C62" s="55"/>
      <c r="D62" s="56"/>
      <c r="E62" s="55"/>
      <c r="F62" s="54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</row>
    <row r="63">
      <c r="A63" s="54"/>
      <c r="B63" s="55"/>
      <c r="C63" s="55"/>
      <c r="D63" s="56"/>
      <c r="E63" s="55"/>
      <c r="F63" s="54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</row>
    <row r="64">
      <c r="A64" s="54"/>
      <c r="B64" s="55"/>
      <c r="C64" s="55"/>
      <c r="D64" s="56"/>
      <c r="E64" s="55"/>
      <c r="F64" s="54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</row>
    <row r="65">
      <c r="A65" s="54"/>
      <c r="B65" s="55"/>
      <c r="C65" s="55"/>
      <c r="D65" s="56"/>
      <c r="E65" s="55"/>
      <c r="F65" s="54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</row>
    <row r="66">
      <c r="A66" s="54"/>
      <c r="B66" s="55"/>
      <c r="C66" s="55"/>
      <c r="D66" s="56"/>
      <c r="E66" s="55"/>
      <c r="F66" s="54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</row>
    <row r="67">
      <c r="A67" s="54"/>
      <c r="B67" s="55"/>
      <c r="C67" s="55"/>
      <c r="D67" s="56"/>
      <c r="E67" s="55"/>
      <c r="F67" s="54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</row>
    <row r="68">
      <c r="A68" s="54"/>
      <c r="B68" s="55"/>
      <c r="C68" s="55"/>
      <c r="D68" s="56"/>
      <c r="E68" s="55"/>
      <c r="F68" s="54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</row>
    <row r="69">
      <c r="A69" s="54"/>
      <c r="B69" s="55"/>
      <c r="C69" s="55"/>
      <c r="D69" s="56"/>
      <c r="E69" s="55"/>
      <c r="F69" s="54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</row>
    <row r="70">
      <c r="A70" s="54"/>
      <c r="B70" s="55"/>
      <c r="C70" s="55"/>
      <c r="D70" s="56"/>
      <c r="E70" s="55"/>
      <c r="F70" s="54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</row>
    <row r="71">
      <c r="A71" s="54"/>
      <c r="B71" s="55"/>
      <c r="C71" s="55"/>
      <c r="D71" s="56"/>
      <c r="E71" s="55"/>
      <c r="F71" s="54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</row>
    <row r="72">
      <c r="A72" s="54"/>
      <c r="B72" s="55"/>
      <c r="C72" s="55"/>
      <c r="D72" s="56"/>
      <c r="E72" s="55"/>
      <c r="F72" s="54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</row>
    <row r="73">
      <c r="A73" s="54"/>
      <c r="B73" s="55"/>
      <c r="C73" s="55"/>
      <c r="D73" s="56"/>
      <c r="E73" s="55"/>
      <c r="F73" s="54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</row>
    <row r="74">
      <c r="A74" s="54"/>
      <c r="B74" s="55"/>
      <c r="C74" s="55"/>
      <c r="D74" s="56"/>
      <c r="E74" s="55"/>
      <c r="F74" s="54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</row>
    <row r="75">
      <c r="A75" s="54"/>
      <c r="B75" s="55"/>
      <c r="C75" s="55"/>
      <c r="D75" s="56"/>
      <c r="E75" s="55"/>
      <c r="F75" s="54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</row>
    <row r="76">
      <c r="A76" s="54"/>
      <c r="B76" s="55"/>
      <c r="C76" s="55"/>
      <c r="D76" s="56"/>
      <c r="E76" s="55"/>
      <c r="F76" s="54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</row>
    <row r="77">
      <c r="A77" s="54"/>
      <c r="B77" s="55"/>
      <c r="C77" s="55"/>
      <c r="D77" s="56"/>
      <c r="E77" s="55"/>
      <c r="F77" s="54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</row>
    <row r="78">
      <c r="A78" s="54"/>
      <c r="B78" s="55"/>
      <c r="C78" s="55"/>
      <c r="D78" s="56"/>
      <c r="E78" s="55"/>
      <c r="F78" s="54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</row>
    <row r="79">
      <c r="A79" s="54"/>
      <c r="B79" s="55"/>
      <c r="C79" s="55"/>
      <c r="D79" s="56"/>
      <c r="E79" s="55"/>
      <c r="F79" s="54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</row>
    <row r="80">
      <c r="A80" s="54"/>
      <c r="B80" s="55"/>
      <c r="C80" s="55"/>
      <c r="D80" s="56"/>
      <c r="E80" s="55"/>
      <c r="F80" s="54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</row>
    <row r="81">
      <c r="A81" s="54"/>
      <c r="B81" s="55"/>
      <c r="C81" s="55"/>
      <c r="D81" s="56"/>
      <c r="E81" s="55"/>
      <c r="F81" s="54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</row>
    <row r="82">
      <c r="A82" s="54"/>
      <c r="B82" s="55"/>
      <c r="C82" s="55"/>
      <c r="D82" s="56"/>
      <c r="E82" s="55"/>
      <c r="F82" s="54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</row>
    <row r="83">
      <c r="A83" s="54"/>
      <c r="B83" s="55"/>
      <c r="C83" s="55"/>
      <c r="D83" s="56"/>
      <c r="E83" s="55"/>
      <c r="F83" s="54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</row>
    <row r="84">
      <c r="A84" s="54"/>
      <c r="B84" s="55"/>
      <c r="C84" s="55"/>
      <c r="D84" s="56"/>
      <c r="E84" s="55"/>
      <c r="F84" s="54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</row>
    <row r="85">
      <c r="A85" s="54"/>
      <c r="B85" s="55"/>
      <c r="C85" s="55"/>
      <c r="D85" s="56"/>
      <c r="E85" s="55"/>
      <c r="F85" s="54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</row>
    <row r="86">
      <c r="A86" s="54"/>
      <c r="B86" s="55"/>
      <c r="C86" s="55"/>
      <c r="D86" s="56"/>
      <c r="E86" s="55"/>
      <c r="F86" s="54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</row>
    <row r="87">
      <c r="A87" s="54"/>
      <c r="B87" s="55"/>
      <c r="C87" s="55"/>
      <c r="D87" s="56"/>
      <c r="E87" s="55"/>
      <c r="F87" s="54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</row>
    <row r="88">
      <c r="A88" s="54"/>
      <c r="B88" s="55"/>
      <c r="C88" s="55"/>
      <c r="D88" s="56"/>
      <c r="E88" s="55"/>
      <c r="F88" s="54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</row>
    <row r="89">
      <c r="A89" s="54"/>
      <c r="B89" s="55"/>
      <c r="C89" s="55"/>
      <c r="D89" s="56"/>
      <c r="E89" s="55"/>
      <c r="F89" s="54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</row>
    <row r="90">
      <c r="A90" s="54"/>
      <c r="B90" s="55"/>
      <c r="C90" s="55"/>
      <c r="D90" s="56"/>
      <c r="E90" s="55"/>
      <c r="F90" s="54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</row>
    <row r="91">
      <c r="A91" s="54"/>
      <c r="B91" s="55"/>
      <c r="C91" s="55"/>
      <c r="D91" s="56"/>
      <c r="E91" s="55"/>
      <c r="F91" s="54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</row>
    <row r="92">
      <c r="A92" s="54"/>
      <c r="B92" s="55"/>
      <c r="C92" s="55"/>
      <c r="D92" s="56"/>
      <c r="E92" s="55"/>
      <c r="F92" s="54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</row>
    <row r="93">
      <c r="A93" s="54"/>
      <c r="B93" s="55"/>
      <c r="C93" s="55"/>
      <c r="D93" s="56"/>
      <c r="E93" s="55"/>
      <c r="F93" s="54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</row>
    <row r="94">
      <c r="A94" s="54"/>
      <c r="B94" s="55"/>
      <c r="C94" s="55"/>
      <c r="D94" s="56"/>
      <c r="E94" s="55"/>
      <c r="F94" s="54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</row>
    <row r="95">
      <c r="A95" s="54"/>
      <c r="B95" s="55"/>
      <c r="C95" s="55"/>
      <c r="D95" s="56"/>
      <c r="E95" s="55"/>
      <c r="F95" s="54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</row>
    <row r="96">
      <c r="A96" s="54"/>
      <c r="B96" s="55"/>
      <c r="C96" s="55"/>
      <c r="D96" s="56"/>
      <c r="E96" s="55"/>
      <c r="F96" s="54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</row>
    <row r="97">
      <c r="A97" s="54"/>
      <c r="B97" s="55"/>
      <c r="C97" s="55"/>
      <c r="D97" s="56"/>
      <c r="E97" s="55"/>
      <c r="F97" s="54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</row>
    <row r="98">
      <c r="A98" s="54"/>
      <c r="B98" s="55"/>
      <c r="C98" s="55"/>
      <c r="D98" s="56"/>
      <c r="E98" s="55"/>
      <c r="F98" s="54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</row>
    <row r="99">
      <c r="A99" s="54"/>
      <c r="B99" s="55"/>
      <c r="C99" s="55"/>
      <c r="D99" s="56"/>
      <c r="E99" s="55"/>
      <c r="F99" s="54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</row>
    <row r="100">
      <c r="A100" s="54"/>
      <c r="B100" s="55"/>
      <c r="C100" s="55"/>
      <c r="D100" s="56"/>
      <c r="E100" s="55"/>
      <c r="F100" s="54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</row>
    <row r="101">
      <c r="A101" s="54"/>
      <c r="B101" s="55"/>
      <c r="C101" s="55"/>
      <c r="D101" s="56"/>
      <c r="E101" s="55"/>
      <c r="F101" s="54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</row>
    <row r="102">
      <c r="A102" s="54"/>
      <c r="B102" s="55"/>
      <c r="C102" s="55"/>
      <c r="D102" s="56"/>
      <c r="E102" s="55"/>
      <c r="F102" s="54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</row>
    <row r="103">
      <c r="A103" s="54"/>
      <c r="B103" s="55"/>
      <c r="C103" s="55"/>
      <c r="D103" s="56"/>
      <c r="E103" s="55"/>
      <c r="F103" s="54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</row>
    <row r="104">
      <c r="A104" s="54"/>
      <c r="B104" s="55"/>
      <c r="C104" s="55"/>
      <c r="D104" s="56"/>
      <c r="E104" s="55"/>
      <c r="F104" s="54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</row>
    <row r="105">
      <c r="A105" s="54"/>
      <c r="B105" s="55"/>
      <c r="C105" s="55"/>
      <c r="D105" s="56"/>
      <c r="E105" s="55"/>
      <c r="F105" s="54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</row>
    <row r="106">
      <c r="A106" s="54"/>
      <c r="B106" s="55"/>
      <c r="C106" s="55"/>
      <c r="D106" s="56"/>
      <c r="E106" s="55"/>
      <c r="F106" s="54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</row>
    <row r="107">
      <c r="A107" s="54"/>
      <c r="B107" s="55"/>
      <c r="C107" s="55"/>
      <c r="D107" s="56"/>
      <c r="E107" s="55"/>
      <c r="F107" s="54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</row>
    <row r="108">
      <c r="A108" s="54"/>
      <c r="B108" s="55"/>
      <c r="C108" s="55"/>
      <c r="D108" s="56"/>
      <c r="E108" s="55"/>
      <c r="F108" s="54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</row>
    <row r="109">
      <c r="A109" s="54"/>
      <c r="B109" s="55"/>
      <c r="C109" s="55"/>
      <c r="D109" s="56"/>
      <c r="E109" s="55"/>
      <c r="F109" s="54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</row>
    <row r="110">
      <c r="A110" s="54"/>
      <c r="B110" s="55"/>
      <c r="C110" s="55"/>
      <c r="D110" s="56"/>
      <c r="E110" s="55"/>
      <c r="F110" s="54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</row>
    <row r="111">
      <c r="A111" s="57"/>
      <c r="B111" s="58"/>
      <c r="C111" s="58"/>
      <c r="D111" s="59"/>
      <c r="E111" s="58"/>
      <c r="F111" s="60"/>
      <c r="G111" s="55"/>
      <c r="H111" s="55"/>
      <c r="I111" s="55"/>
      <c r="J111" s="55"/>
      <c r="K111" s="55"/>
      <c r="L111" s="55"/>
      <c r="M111" s="58"/>
      <c r="N111" s="58"/>
      <c r="O111" s="58"/>
      <c r="P111" s="58"/>
      <c r="Q111" s="58"/>
      <c r="R111" s="61"/>
      <c r="S111" s="55"/>
      <c r="T111" s="55"/>
      <c r="U111" s="55"/>
      <c r="V111" s="55"/>
      <c r="W111" s="55"/>
      <c r="X111" s="55"/>
      <c r="Y111" s="55"/>
      <c r="Z111" s="55"/>
      <c r="AA111" s="55"/>
    </row>
    <row r="112">
      <c r="A112" s="62"/>
      <c r="B112" s="63"/>
      <c r="C112" s="63"/>
      <c r="D112" s="64"/>
      <c r="E112" s="55"/>
      <c r="F112" s="65"/>
      <c r="G112" s="55"/>
      <c r="H112" s="55"/>
      <c r="I112" s="55"/>
      <c r="J112" s="55"/>
      <c r="K112" s="55"/>
      <c r="L112" s="55"/>
      <c r="M112" s="66"/>
      <c r="N112" s="63"/>
      <c r="O112" s="63"/>
      <c r="P112" s="67"/>
      <c r="Q112" s="55"/>
      <c r="R112" s="63"/>
      <c r="S112" s="55"/>
      <c r="T112" s="55"/>
      <c r="U112" s="55"/>
      <c r="V112" s="55"/>
      <c r="W112" s="55"/>
      <c r="X112" s="55"/>
      <c r="Y112" s="55"/>
      <c r="Z112" s="55"/>
      <c r="AA112" s="55"/>
    </row>
    <row r="113">
      <c r="A113" s="68"/>
      <c r="B113" s="69"/>
      <c r="C113" s="69"/>
      <c r="D113" s="70"/>
      <c r="E113" s="71"/>
      <c r="F113" s="72"/>
      <c r="G113" s="55"/>
      <c r="H113" s="55"/>
      <c r="I113" s="55"/>
      <c r="J113" s="55"/>
      <c r="K113" s="55"/>
      <c r="L113" s="55"/>
      <c r="M113" s="73"/>
      <c r="N113" s="69"/>
      <c r="O113" s="69"/>
      <c r="P113" s="74"/>
      <c r="Q113" s="71"/>
      <c r="R113" s="69"/>
      <c r="S113" s="55"/>
      <c r="T113" s="55"/>
      <c r="U113" s="55"/>
      <c r="V113" s="55"/>
      <c r="W113" s="55"/>
      <c r="X113" s="55"/>
      <c r="Y113" s="55"/>
      <c r="Z113" s="55"/>
      <c r="AA113" s="55"/>
    </row>
    <row r="114">
      <c r="A114" s="62"/>
      <c r="B114" s="63"/>
      <c r="C114" s="63"/>
      <c r="D114" s="64"/>
      <c r="E114" s="55"/>
      <c r="F114" s="65"/>
      <c r="G114" s="55"/>
      <c r="H114" s="55"/>
      <c r="I114" s="55"/>
      <c r="J114" s="55"/>
      <c r="K114" s="55"/>
      <c r="L114" s="55"/>
      <c r="M114" s="66"/>
      <c r="N114" s="63"/>
      <c r="O114" s="63"/>
      <c r="P114" s="67"/>
      <c r="Q114" s="55"/>
      <c r="R114" s="63"/>
      <c r="S114" s="55"/>
      <c r="T114" s="55"/>
      <c r="U114" s="55"/>
      <c r="V114" s="55"/>
      <c r="W114" s="55"/>
      <c r="X114" s="55"/>
      <c r="Y114" s="55"/>
      <c r="Z114" s="55"/>
      <c r="AA114" s="55"/>
    </row>
    <row r="115">
      <c r="A115" s="62"/>
      <c r="B115" s="63"/>
      <c r="C115" s="63"/>
      <c r="D115" s="64"/>
      <c r="E115" s="55"/>
      <c r="F115" s="65"/>
      <c r="G115" s="55"/>
      <c r="H115" s="55"/>
      <c r="I115" s="55"/>
      <c r="J115" s="55"/>
      <c r="K115" s="55"/>
      <c r="L115" s="55"/>
      <c r="M115" s="66"/>
      <c r="N115" s="63"/>
      <c r="O115" s="63"/>
      <c r="P115" s="67"/>
      <c r="Q115" s="55"/>
      <c r="R115" s="63"/>
      <c r="S115" s="55"/>
      <c r="T115" s="55"/>
      <c r="U115" s="55"/>
      <c r="V115" s="55"/>
      <c r="W115" s="55"/>
      <c r="X115" s="55"/>
      <c r="Y115" s="55"/>
      <c r="Z115" s="55"/>
      <c r="AA115" s="55"/>
    </row>
    <row r="116">
      <c r="A116" s="62"/>
      <c r="B116" s="63"/>
      <c r="C116" s="63"/>
      <c r="D116" s="64"/>
      <c r="E116" s="55"/>
      <c r="F116" s="65"/>
      <c r="G116" s="55"/>
      <c r="H116" s="55"/>
      <c r="I116" s="55"/>
      <c r="J116" s="55"/>
      <c r="K116" s="55"/>
      <c r="L116" s="55"/>
      <c r="M116" s="66"/>
      <c r="N116" s="63"/>
      <c r="O116" s="63"/>
      <c r="P116" s="67"/>
      <c r="Q116" s="55"/>
      <c r="R116" s="63"/>
      <c r="S116" s="55"/>
      <c r="T116" s="55"/>
      <c r="U116" s="55"/>
      <c r="V116" s="55"/>
      <c r="W116" s="55"/>
      <c r="X116" s="55"/>
      <c r="Y116" s="55"/>
      <c r="Z116" s="55"/>
      <c r="AA116" s="55"/>
    </row>
    <row r="117">
      <c r="A117" s="62"/>
      <c r="B117" s="63"/>
      <c r="C117" s="63"/>
      <c r="D117" s="64"/>
      <c r="E117" s="55"/>
      <c r="F117" s="65"/>
      <c r="G117" s="55"/>
      <c r="H117" s="55"/>
      <c r="I117" s="55"/>
      <c r="J117" s="55"/>
      <c r="K117" s="55"/>
      <c r="L117" s="55"/>
      <c r="M117" s="66"/>
      <c r="N117" s="63"/>
      <c r="O117" s="63"/>
      <c r="P117" s="67"/>
      <c r="Q117" s="55"/>
      <c r="R117" s="63"/>
      <c r="S117" s="55"/>
      <c r="T117" s="55"/>
      <c r="U117" s="55"/>
      <c r="V117" s="55"/>
      <c r="W117" s="55"/>
      <c r="X117" s="55"/>
      <c r="Y117" s="55"/>
      <c r="Z117" s="55"/>
      <c r="AA117" s="55"/>
    </row>
    <row r="118">
      <c r="A118" s="62"/>
      <c r="B118" s="63"/>
      <c r="C118" s="63"/>
      <c r="D118" s="64"/>
      <c r="E118" s="55"/>
      <c r="F118" s="65"/>
      <c r="G118" s="55"/>
      <c r="H118" s="55"/>
      <c r="I118" s="55"/>
      <c r="J118" s="55"/>
      <c r="K118" s="55"/>
      <c r="L118" s="55"/>
      <c r="M118" s="66"/>
      <c r="N118" s="63"/>
      <c r="O118" s="63"/>
      <c r="P118" s="67"/>
      <c r="Q118" s="55"/>
      <c r="R118" s="63"/>
      <c r="S118" s="55"/>
      <c r="T118" s="55"/>
      <c r="U118" s="55"/>
      <c r="V118" s="55"/>
      <c r="W118" s="55"/>
      <c r="X118" s="55"/>
      <c r="Y118" s="55"/>
      <c r="Z118" s="55"/>
      <c r="AA118" s="55"/>
    </row>
    <row r="119">
      <c r="A119" s="62"/>
      <c r="B119" s="63"/>
      <c r="C119" s="63"/>
      <c r="D119" s="64"/>
      <c r="E119" s="55"/>
      <c r="F119" s="65"/>
      <c r="G119" s="55"/>
      <c r="H119" s="55"/>
      <c r="I119" s="55"/>
      <c r="J119" s="55"/>
      <c r="K119" s="55"/>
      <c r="L119" s="55"/>
      <c r="M119" s="66"/>
      <c r="N119" s="63"/>
      <c r="O119" s="63"/>
      <c r="P119" s="67"/>
      <c r="Q119" s="55"/>
      <c r="R119" s="63"/>
      <c r="S119" s="55"/>
      <c r="T119" s="55"/>
      <c r="U119" s="55"/>
      <c r="V119" s="55"/>
      <c r="W119" s="55"/>
      <c r="X119" s="55"/>
      <c r="Y119" s="55"/>
      <c r="Z119" s="55"/>
      <c r="AA119" s="55"/>
    </row>
    <row r="120">
      <c r="A120" s="62"/>
      <c r="B120" s="63"/>
      <c r="C120" s="63"/>
      <c r="D120" s="64"/>
      <c r="E120" s="55"/>
      <c r="F120" s="65"/>
      <c r="G120" s="55"/>
      <c r="H120" s="55"/>
      <c r="I120" s="55"/>
      <c r="J120" s="55"/>
      <c r="K120" s="55"/>
      <c r="L120" s="55"/>
      <c r="M120" s="66"/>
      <c r="N120" s="63"/>
      <c r="O120" s="63"/>
      <c r="P120" s="67"/>
      <c r="Q120" s="55"/>
      <c r="R120" s="63"/>
      <c r="S120" s="55"/>
      <c r="T120" s="55"/>
      <c r="U120" s="55"/>
      <c r="V120" s="55"/>
      <c r="W120" s="55"/>
      <c r="X120" s="55"/>
      <c r="Y120" s="55"/>
      <c r="Z120" s="55"/>
      <c r="AA120" s="55"/>
    </row>
    <row r="121">
      <c r="A121" s="54"/>
      <c r="B121" s="55"/>
      <c r="C121" s="55"/>
      <c r="D121" s="56"/>
      <c r="E121" s="55"/>
      <c r="F121" s="54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</row>
    <row r="122">
      <c r="A122" s="54"/>
      <c r="B122" s="55"/>
      <c r="C122" s="55"/>
      <c r="D122" s="56"/>
      <c r="E122" s="55"/>
      <c r="F122" s="54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</row>
    <row r="123">
      <c r="A123" s="54"/>
      <c r="B123" s="55"/>
      <c r="C123" s="55"/>
      <c r="D123" s="56"/>
      <c r="E123" s="55"/>
      <c r="F123" s="54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</row>
    <row r="124">
      <c r="A124" s="54"/>
      <c r="B124" s="55"/>
      <c r="C124" s="55"/>
      <c r="D124" s="56"/>
      <c r="E124" s="55"/>
      <c r="F124" s="54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</row>
    <row r="125">
      <c r="A125" s="54"/>
      <c r="B125" s="55"/>
      <c r="C125" s="55"/>
      <c r="D125" s="56"/>
      <c r="E125" s="55"/>
      <c r="F125" s="54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</row>
    <row r="126">
      <c r="A126" s="54"/>
      <c r="B126" s="55"/>
      <c r="C126" s="55"/>
      <c r="D126" s="56"/>
      <c r="E126" s="55"/>
      <c r="F126" s="54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</row>
    <row r="127">
      <c r="A127" s="54"/>
      <c r="B127" s="55"/>
      <c r="C127" s="55"/>
      <c r="D127" s="56"/>
      <c r="E127" s="55"/>
      <c r="F127" s="54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</row>
    <row r="128">
      <c r="A128" s="54"/>
      <c r="B128" s="55"/>
      <c r="C128" s="55"/>
      <c r="D128" s="56"/>
      <c r="E128" s="55"/>
      <c r="F128" s="54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</row>
    <row r="129">
      <c r="A129" s="54"/>
      <c r="B129" s="55"/>
      <c r="C129" s="55"/>
      <c r="D129" s="56"/>
      <c r="E129" s="55"/>
      <c r="F129" s="54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</row>
    <row r="130">
      <c r="A130" s="54"/>
      <c r="B130" s="55"/>
      <c r="C130" s="55"/>
      <c r="D130" s="56"/>
      <c r="E130" s="55"/>
      <c r="F130" s="54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</row>
    <row r="131">
      <c r="A131" s="54"/>
      <c r="B131" s="55"/>
      <c r="C131" s="55"/>
      <c r="D131" s="56"/>
      <c r="E131" s="55"/>
      <c r="F131" s="54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</row>
    <row r="132">
      <c r="A132" s="54"/>
      <c r="B132" s="55"/>
      <c r="C132" s="55"/>
      <c r="D132" s="56"/>
      <c r="E132" s="55"/>
      <c r="F132" s="54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</row>
    <row r="133">
      <c r="A133" s="54"/>
      <c r="B133" s="55"/>
      <c r="C133" s="55"/>
      <c r="D133" s="56"/>
      <c r="E133" s="55"/>
      <c r="F133" s="54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</row>
    <row r="134">
      <c r="A134" s="54"/>
      <c r="B134" s="55"/>
      <c r="C134" s="55"/>
      <c r="D134" s="56"/>
      <c r="E134" s="55"/>
      <c r="F134" s="54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</row>
    <row r="135">
      <c r="A135" s="54"/>
      <c r="B135" s="55"/>
      <c r="C135" s="55"/>
      <c r="D135" s="56"/>
      <c r="E135" s="55"/>
      <c r="F135" s="54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</row>
    <row r="136">
      <c r="A136" s="54"/>
      <c r="B136" s="55"/>
      <c r="C136" s="55"/>
      <c r="D136" s="56"/>
      <c r="E136" s="55"/>
      <c r="F136" s="54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</row>
    <row r="137">
      <c r="A137" s="54"/>
      <c r="B137" s="55"/>
      <c r="C137" s="55"/>
      <c r="D137" s="56"/>
      <c r="E137" s="55"/>
      <c r="F137" s="54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</row>
    <row r="138">
      <c r="A138" s="54"/>
      <c r="B138" s="55"/>
      <c r="C138" s="55"/>
      <c r="D138" s="56"/>
      <c r="E138" s="55"/>
      <c r="F138" s="54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</row>
    <row r="139">
      <c r="A139" s="54"/>
      <c r="B139" s="55"/>
      <c r="C139" s="55"/>
      <c r="D139" s="56"/>
      <c r="E139" s="55"/>
      <c r="F139" s="54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</row>
    <row r="140">
      <c r="A140" s="54"/>
      <c r="B140" s="55"/>
      <c r="C140" s="55"/>
      <c r="D140" s="56"/>
      <c r="E140" s="55"/>
      <c r="F140" s="54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</row>
    <row r="141">
      <c r="A141" s="54"/>
      <c r="B141" s="55"/>
      <c r="C141" s="55"/>
      <c r="D141" s="56"/>
      <c r="E141" s="55"/>
      <c r="F141" s="54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</row>
    <row r="142">
      <c r="A142" s="54"/>
      <c r="B142" s="55"/>
      <c r="C142" s="55"/>
      <c r="D142" s="56"/>
      <c r="E142" s="55"/>
      <c r="F142" s="54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</row>
    <row r="143">
      <c r="A143" s="54"/>
      <c r="B143" s="55"/>
      <c r="C143" s="55"/>
      <c r="D143" s="56"/>
      <c r="E143" s="55"/>
      <c r="F143" s="54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</row>
    <row r="144">
      <c r="A144" s="54"/>
      <c r="B144" s="55"/>
      <c r="C144" s="55"/>
      <c r="D144" s="56"/>
      <c r="E144" s="55"/>
      <c r="F144" s="54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</row>
    <row r="145">
      <c r="A145" s="54"/>
      <c r="B145" s="55"/>
      <c r="C145" s="55"/>
      <c r="D145" s="56"/>
      <c r="E145" s="55"/>
      <c r="F145" s="54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</row>
    <row r="146">
      <c r="A146" s="54"/>
      <c r="B146" s="55"/>
      <c r="C146" s="55"/>
      <c r="D146" s="56"/>
      <c r="E146" s="55"/>
      <c r="F146" s="54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</row>
    <row r="147">
      <c r="A147" s="54"/>
      <c r="B147" s="55"/>
      <c r="C147" s="55"/>
      <c r="D147" s="56"/>
      <c r="E147" s="55"/>
      <c r="F147" s="54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</row>
    <row r="148">
      <c r="A148" s="54"/>
      <c r="B148" s="55"/>
      <c r="C148" s="55"/>
      <c r="D148" s="56"/>
      <c r="E148" s="55"/>
      <c r="F148" s="54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</row>
    <row r="149">
      <c r="A149" s="54"/>
      <c r="B149" s="55"/>
      <c r="C149" s="55"/>
      <c r="D149" s="56"/>
      <c r="E149" s="55"/>
      <c r="F149" s="54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</row>
    <row r="150">
      <c r="A150" s="54"/>
      <c r="B150" s="55"/>
      <c r="C150" s="55"/>
      <c r="D150" s="56"/>
      <c r="E150" s="55"/>
      <c r="F150" s="54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</row>
    <row r="151">
      <c r="A151" s="54"/>
      <c r="B151" s="55"/>
      <c r="C151" s="55"/>
      <c r="D151" s="56"/>
      <c r="E151" s="55"/>
      <c r="F151" s="54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</row>
    <row r="152">
      <c r="A152" s="54"/>
      <c r="B152" s="55"/>
      <c r="C152" s="55"/>
      <c r="D152" s="56"/>
      <c r="E152" s="55"/>
      <c r="F152" s="54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</row>
    <row r="153">
      <c r="A153" s="54"/>
      <c r="B153" s="55"/>
      <c r="C153" s="55"/>
      <c r="D153" s="56"/>
      <c r="E153" s="55"/>
      <c r="F153" s="54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</row>
    <row r="154">
      <c r="A154" s="54"/>
      <c r="B154" s="55"/>
      <c r="C154" s="55"/>
      <c r="D154" s="56"/>
      <c r="E154" s="55"/>
      <c r="F154" s="54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</row>
    <row r="155">
      <c r="A155" s="54"/>
      <c r="B155" s="55"/>
      <c r="C155" s="55"/>
      <c r="D155" s="56"/>
      <c r="E155" s="55"/>
      <c r="F155" s="54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</row>
    <row r="156">
      <c r="A156" s="54"/>
      <c r="B156" s="55"/>
      <c r="C156" s="55"/>
      <c r="D156" s="56"/>
      <c r="E156" s="55"/>
      <c r="F156" s="54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</row>
    <row r="157">
      <c r="A157" s="54"/>
      <c r="B157" s="55"/>
      <c r="C157" s="55"/>
      <c r="D157" s="56"/>
      <c r="E157" s="55"/>
      <c r="F157" s="54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</row>
    <row r="158">
      <c r="A158" s="54"/>
      <c r="B158" s="55"/>
      <c r="C158" s="55"/>
      <c r="D158" s="56"/>
      <c r="E158" s="55"/>
      <c r="F158" s="54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</row>
    <row r="159">
      <c r="A159" s="54"/>
      <c r="B159" s="55"/>
      <c r="C159" s="55"/>
      <c r="D159" s="56"/>
      <c r="E159" s="55"/>
      <c r="F159" s="54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</row>
    <row r="160">
      <c r="A160" s="54"/>
      <c r="B160" s="55"/>
      <c r="C160" s="55"/>
      <c r="D160" s="56"/>
      <c r="E160" s="55"/>
      <c r="F160" s="54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</row>
    <row r="161">
      <c r="A161" s="54"/>
      <c r="B161" s="55"/>
      <c r="C161" s="55"/>
      <c r="D161" s="56"/>
      <c r="E161" s="55"/>
      <c r="F161" s="54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</row>
    <row r="162">
      <c r="A162" s="54"/>
      <c r="B162" s="55"/>
      <c r="C162" s="55"/>
      <c r="D162" s="56"/>
      <c r="E162" s="55"/>
      <c r="F162" s="54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</row>
    <row r="163">
      <c r="A163" s="54"/>
      <c r="B163" s="55"/>
      <c r="C163" s="55"/>
      <c r="D163" s="56"/>
      <c r="E163" s="55"/>
      <c r="F163" s="54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</row>
    <row r="164">
      <c r="A164" s="54"/>
      <c r="B164" s="55"/>
      <c r="C164" s="55"/>
      <c r="D164" s="56"/>
      <c r="E164" s="55"/>
      <c r="F164" s="54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</row>
    <row r="165">
      <c r="A165" s="54"/>
      <c r="B165" s="55"/>
      <c r="C165" s="55"/>
      <c r="D165" s="56"/>
      <c r="E165" s="55"/>
      <c r="F165" s="54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</row>
    <row r="166">
      <c r="A166" s="54"/>
      <c r="B166" s="55"/>
      <c r="C166" s="55"/>
      <c r="D166" s="56"/>
      <c r="E166" s="55"/>
      <c r="F166" s="54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</row>
    <row r="167">
      <c r="A167" s="54"/>
      <c r="B167" s="55"/>
      <c r="C167" s="55"/>
      <c r="D167" s="56"/>
      <c r="E167" s="55"/>
      <c r="F167" s="54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</row>
    <row r="168">
      <c r="A168" s="54"/>
      <c r="B168" s="55"/>
      <c r="C168" s="55"/>
      <c r="D168" s="56"/>
      <c r="E168" s="55"/>
      <c r="F168" s="54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</row>
    <row r="169">
      <c r="A169" s="54"/>
      <c r="B169" s="55"/>
      <c r="C169" s="55"/>
      <c r="D169" s="56"/>
      <c r="E169" s="55"/>
      <c r="F169" s="54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</row>
    <row r="170">
      <c r="A170" s="54"/>
      <c r="B170" s="55"/>
      <c r="C170" s="55"/>
      <c r="D170" s="56"/>
      <c r="E170" s="55"/>
      <c r="F170" s="54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</row>
    <row r="171">
      <c r="A171" s="54"/>
      <c r="B171" s="55"/>
      <c r="C171" s="55"/>
      <c r="D171" s="56"/>
      <c r="E171" s="55"/>
      <c r="F171" s="54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</row>
    <row r="172">
      <c r="A172" s="54"/>
      <c r="B172" s="55"/>
      <c r="C172" s="55"/>
      <c r="D172" s="56"/>
      <c r="E172" s="55"/>
      <c r="F172" s="54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</row>
    <row r="173">
      <c r="A173" s="54"/>
      <c r="B173" s="55"/>
      <c r="C173" s="55"/>
      <c r="D173" s="56"/>
      <c r="E173" s="55"/>
      <c r="F173" s="54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</row>
    <row r="174">
      <c r="A174" s="54"/>
      <c r="B174" s="55"/>
      <c r="C174" s="55"/>
      <c r="D174" s="56"/>
      <c r="E174" s="55"/>
      <c r="F174" s="54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</row>
    <row r="175">
      <c r="A175" s="54"/>
      <c r="B175" s="55"/>
      <c r="C175" s="55"/>
      <c r="D175" s="56"/>
      <c r="E175" s="55"/>
      <c r="F175" s="54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</row>
    <row r="176">
      <c r="A176" s="54"/>
      <c r="B176" s="55"/>
      <c r="C176" s="55"/>
      <c r="D176" s="56"/>
      <c r="E176" s="55"/>
      <c r="F176" s="54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</row>
    <row r="177">
      <c r="A177" s="54"/>
      <c r="B177" s="55"/>
      <c r="C177" s="55"/>
      <c r="D177" s="56"/>
      <c r="E177" s="55"/>
      <c r="F177" s="54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</row>
    <row r="178">
      <c r="A178" s="54"/>
      <c r="B178" s="55"/>
      <c r="C178" s="55"/>
      <c r="D178" s="56"/>
      <c r="E178" s="55"/>
      <c r="F178" s="54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</row>
    <row r="179">
      <c r="A179" s="54"/>
      <c r="B179" s="55"/>
      <c r="C179" s="55"/>
      <c r="D179" s="56"/>
      <c r="E179" s="55"/>
      <c r="F179" s="54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</row>
    <row r="180">
      <c r="A180" s="54"/>
      <c r="B180" s="55"/>
      <c r="C180" s="55"/>
      <c r="D180" s="56"/>
      <c r="E180" s="55"/>
      <c r="F180" s="54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</row>
    <row r="181">
      <c r="A181" s="54"/>
      <c r="B181" s="55"/>
      <c r="C181" s="55"/>
      <c r="D181" s="56"/>
      <c r="E181" s="55"/>
      <c r="F181" s="54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</row>
    <row r="182">
      <c r="A182" s="54"/>
      <c r="B182" s="55"/>
      <c r="C182" s="55"/>
      <c r="D182" s="56"/>
      <c r="E182" s="55"/>
      <c r="F182" s="54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</row>
    <row r="183">
      <c r="A183" s="54"/>
      <c r="B183" s="55"/>
      <c r="C183" s="55"/>
      <c r="D183" s="56"/>
      <c r="E183" s="55"/>
      <c r="F183" s="54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</row>
    <row r="184">
      <c r="A184" s="54"/>
      <c r="B184" s="55"/>
      <c r="C184" s="55"/>
      <c r="D184" s="56"/>
      <c r="E184" s="55"/>
      <c r="F184" s="54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</row>
    <row r="185">
      <c r="A185" s="54"/>
      <c r="B185" s="55"/>
      <c r="C185" s="55"/>
      <c r="D185" s="56"/>
      <c r="E185" s="55"/>
      <c r="F185" s="54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</row>
    <row r="186">
      <c r="A186" s="54"/>
      <c r="B186" s="55"/>
      <c r="C186" s="55"/>
      <c r="D186" s="56"/>
      <c r="E186" s="55"/>
      <c r="F186" s="54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</row>
    <row r="187">
      <c r="A187" s="54"/>
      <c r="B187" s="55"/>
      <c r="C187" s="55"/>
      <c r="D187" s="56"/>
      <c r="E187" s="55"/>
      <c r="F187" s="54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</row>
    <row r="188">
      <c r="A188" s="54"/>
      <c r="B188" s="55"/>
      <c r="C188" s="55"/>
      <c r="D188" s="56"/>
      <c r="E188" s="55"/>
      <c r="F188" s="54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</row>
    <row r="189">
      <c r="A189" s="54"/>
      <c r="B189" s="55"/>
      <c r="C189" s="55"/>
      <c r="D189" s="56"/>
      <c r="E189" s="55"/>
      <c r="F189" s="54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</row>
    <row r="190">
      <c r="A190" s="54"/>
      <c r="B190" s="55"/>
      <c r="C190" s="55"/>
      <c r="D190" s="56"/>
      <c r="E190" s="55"/>
      <c r="F190" s="54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</row>
    <row r="191">
      <c r="A191" s="54"/>
      <c r="B191" s="55"/>
      <c r="C191" s="55"/>
      <c r="D191" s="56"/>
      <c r="E191" s="55"/>
      <c r="F191" s="54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</row>
    <row r="192">
      <c r="A192" s="54"/>
      <c r="B192" s="55"/>
      <c r="C192" s="55"/>
      <c r="D192" s="56"/>
      <c r="E192" s="55"/>
      <c r="F192" s="54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</row>
    <row r="193">
      <c r="A193" s="54"/>
      <c r="B193" s="55"/>
      <c r="C193" s="55"/>
      <c r="D193" s="56"/>
      <c r="E193" s="55"/>
      <c r="F193" s="54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</row>
    <row r="194">
      <c r="A194" s="54"/>
      <c r="B194" s="55"/>
      <c r="C194" s="55"/>
      <c r="D194" s="56"/>
      <c r="E194" s="55"/>
      <c r="F194" s="54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</row>
    <row r="195">
      <c r="A195" s="54"/>
      <c r="B195" s="55"/>
      <c r="C195" s="55"/>
      <c r="D195" s="56"/>
      <c r="E195" s="55"/>
      <c r="F195" s="54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</row>
    <row r="196">
      <c r="A196" s="54"/>
      <c r="B196" s="55"/>
      <c r="C196" s="55"/>
      <c r="D196" s="56"/>
      <c r="E196" s="55"/>
      <c r="F196" s="54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</row>
    <row r="197">
      <c r="A197" s="54"/>
      <c r="B197" s="55"/>
      <c r="C197" s="55"/>
      <c r="D197" s="56"/>
      <c r="E197" s="55"/>
      <c r="F197" s="54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</row>
    <row r="198">
      <c r="A198" s="54"/>
      <c r="B198" s="55"/>
      <c r="C198" s="55"/>
      <c r="D198" s="56"/>
      <c r="E198" s="55"/>
      <c r="F198" s="54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</row>
    <row r="199">
      <c r="A199" s="54"/>
      <c r="B199" s="55"/>
      <c r="C199" s="55"/>
      <c r="D199" s="56"/>
      <c r="E199" s="55"/>
      <c r="F199" s="54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</row>
    <row r="200">
      <c r="A200" s="54"/>
      <c r="B200" s="55"/>
      <c r="C200" s="55"/>
      <c r="D200" s="56"/>
      <c r="E200" s="55"/>
      <c r="F200" s="54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</row>
    <row r="201">
      <c r="A201" s="54"/>
      <c r="B201" s="55"/>
      <c r="C201" s="55"/>
      <c r="D201" s="56"/>
      <c r="E201" s="55"/>
      <c r="F201" s="54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</row>
    <row r="202">
      <c r="A202" s="54"/>
      <c r="B202" s="55"/>
      <c r="C202" s="55"/>
      <c r="D202" s="56"/>
      <c r="E202" s="55"/>
      <c r="F202" s="54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</row>
    <row r="203">
      <c r="A203" s="54"/>
      <c r="B203" s="55"/>
      <c r="C203" s="55"/>
      <c r="D203" s="56"/>
      <c r="E203" s="55"/>
      <c r="F203" s="54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</row>
    <row r="204">
      <c r="A204" s="54"/>
      <c r="B204" s="55"/>
      <c r="C204" s="55"/>
      <c r="D204" s="56"/>
      <c r="E204" s="55"/>
      <c r="F204" s="54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</row>
    <row r="205">
      <c r="A205" s="54"/>
      <c r="B205" s="55"/>
      <c r="C205" s="55"/>
      <c r="D205" s="56"/>
      <c r="E205" s="55"/>
      <c r="F205" s="54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</row>
    <row r="206">
      <c r="A206" s="54"/>
      <c r="B206" s="55"/>
      <c r="C206" s="55"/>
      <c r="D206" s="56"/>
      <c r="E206" s="55"/>
      <c r="F206" s="54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</row>
    <row r="207">
      <c r="A207" s="54"/>
      <c r="B207" s="55"/>
      <c r="C207" s="55"/>
      <c r="D207" s="56"/>
      <c r="E207" s="55"/>
      <c r="F207" s="54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</row>
    <row r="208">
      <c r="A208" s="54"/>
      <c r="B208" s="55"/>
      <c r="C208" s="55"/>
      <c r="D208" s="56"/>
      <c r="E208" s="55"/>
      <c r="F208" s="54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</row>
    <row r="209">
      <c r="A209" s="54"/>
      <c r="B209" s="55"/>
      <c r="C209" s="55"/>
      <c r="D209" s="56"/>
      <c r="E209" s="55"/>
      <c r="F209" s="54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</row>
    <row r="210">
      <c r="A210" s="54"/>
      <c r="B210" s="55"/>
      <c r="C210" s="55"/>
      <c r="D210" s="56"/>
      <c r="E210" s="55"/>
      <c r="F210" s="54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</row>
    <row r="211">
      <c r="A211" s="54"/>
      <c r="B211" s="55"/>
      <c r="C211" s="55"/>
      <c r="D211" s="56"/>
      <c r="E211" s="55"/>
      <c r="F211" s="54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</row>
    <row r="212">
      <c r="A212" s="54"/>
      <c r="B212" s="55"/>
      <c r="C212" s="55"/>
      <c r="D212" s="56"/>
      <c r="E212" s="55"/>
      <c r="F212" s="54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</row>
    <row r="213">
      <c r="A213" s="54"/>
      <c r="B213" s="55"/>
      <c r="C213" s="55"/>
      <c r="D213" s="56"/>
      <c r="E213" s="55"/>
      <c r="F213" s="54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</row>
    <row r="214">
      <c r="A214" s="54"/>
      <c r="B214" s="55"/>
      <c r="C214" s="55"/>
      <c r="D214" s="56"/>
      <c r="E214" s="55"/>
      <c r="F214" s="54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</row>
    <row r="215">
      <c r="A215" s="54"/>
      <c r="B215" s="55"/>
      <c r="C215" s="55"/>
      <c r="D215" s="56"/>
      <c r="E215" s="55"/>
      <c r="F215" s="54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</row>
    <row r="216">
      <c r="A216" s="54"/>
      <c r="B216" s="55"/>
      <c r="C216" s="55"/>
      <c r="D216" s="56"/>
      <c r="E216" s="55"/>
      <c r="F216" s="54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</row>
    <row r="217">
      <c r="A217" s="54"/>
      <c r="B217" s="55"/>
      <c r="C217" s="55"/>
      <c r="D217" s="56"/>
      <c r="E217" s="55"/>
      <c r="F217" s="54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</row>
    <row r="218">
      <c r="A218" s="54"/>
      <c r="B218" s="55"/>
      <c r="C218" s="55"/>
      <c r="D218" s="56"/>
      <c r="E218" s="55"/>
      <c r="F218" s="54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</row>
    <row r="219">
      <c r="A219" s="54"/>
      <c r="B219" s="55"/>
      <c r="C219" s="55"/>
      <c r="D219" s="56"/>
      <c r="E219" s="55"/>
      <c r="F219" s="54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</row>
    <row r="220">
      <c r="A220" s="54"/>
      <c r="B220" s="55"/>
      <c r="C220" s="55"/>
      <c r="D220" s="56"/>
      <c r="E220" s="55"/>
      <c r="F220" s="54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</row>
    <row r="221">
      <c r="A221" s="57"/>
      <c r="B221" s="58"/>
      <c r="C221" s="58"/>
      <c r="D221" s="59"/>
      <c r="E221" s="58"/>
      <c r="F221" s="60"/>
      <c r="G221" s="55"/>
      <c r="H221" s="55"/>
      <c r="I221" s="55"/>
      <c r="J221" s="55"/>
      <c r="K221" s="55"/>
      <c r="L221" s="55"/>
      <c r="M221" s="58"/>
      <c r="N221" s="58"/>
      <c r="O221" s="58"/>
      <c r="P221" s="58"/>
      <c r="Q221" s="58"/>
      <c r="R221" s="61"/>
      <c r="S221" s="55"/>
      <c r="T221" s="55"/>
      <c r="U221" s="55"/>
      <c r="V221" s="55"/>
      <c r="W221" s="55"/>
      <c r="X221" s="55"/>
      <c r="Y221" s="55"/>
      <c r="Z221" s="55"/>
      <c r="AA221" s="55"/>
    </row>
    <row r="222">
      <c r="A222" s="62"/>
      <c r="B222" s="63"/>
      <c r="C222" s="63"/>
      <c r="D222" s="64"/>
      <c r="E222" s="55"/>
      <c r="F222" s="65"/>
      <c r="G222" s="55"/>
      <c r="H222" s="55"/>
      <c r="I222" s="55"/>
      <c r="J222" s="55"/>
      <c r="K222" s="55"/>
      <c r="L222" s="55"/>
      <c r="M222" s="66"/>
      <c r="N222" s="63"/>
      <c r="O222" s="63"/>
      <c r="P222" s="67"/>
      <c r="Q222" s="55"/>
      <c r="R222" s="63"/>
      <c r="S222" s="55"/>
      <c r="T222" s="55"/>
      <c r="U222" s="55"/>
      <c r="V222" s="55"/>
      <c r="W222" s="55"/>
      <c r="X222" s="55"/>
      <c r="Y222" s="55"/>
      <c r="Z222" s="55"/>
      <c r="AA222" s="55"/>
    </row>
    <row r="223">
      <c r="A223" s="68"/>
      <c r="B223" s="69"/>
      <c r="C223" s="69"/>
      <c r="D223" s="70"/>
      <c r="E223" s="71"/>
      <c r="F223" s="72"/>
      <c r="G223" s="55"/>
      <c r="H223" s="55"/>
      <c r="I223" s="55"/>
      <c r="J223" s="55"/>
      <c r="K223" s="55"/>
      <c r="L223" s="55"/>
      <c r="M223" s="73"/>
      <c r="N223" s="69"/>
      <c r="O223" s="69"/>
      <c r="P223" s="74"/>
      <c r="Q223" s="71"/>
      <c r="R223" s="69"/>
      <c r="S223" s="55"/>
      <c r="T223" s="55"/>
      <c r="U223" s="55"/>
      <c r="V223" s="55"/>
      <c r="W223" s="55"/>
      <c r="X223" s="55"/>
      <c r="Y223" s="55"/>
      <c r="Z223" s="55"/>
      <c r="AA223" s="55"/>
    </row>
    <row r="224">
      <c r="A224" s="62"/>
      <c r="B224" s="63"/>
      <c r="C224" s="63"/>
      <c r="D224" s="64"/>
      <c r="E224" s="55"/>
      <c r="F224" s="65"/>
      <c r="G224" s="55"/>
      <c r="H224" s="55"/>
      <c r="I224" s="55"/>
      <c r="J224" s="55"/>
      <c r="K224" s="55"/>
      <c r="L224" s="55"/>
      <c r="M224" s="66"/>
      <c r="N224" s="63"/>
      <c r="O224" s="63"/>
      <c r="P224" s="67"/>
      <c r="Q224" s="55"/>
      <c r="R224" s="63"/>
      <c r="S224" s="55"/>
      <c r="T224" s="55"/>
      <c r="U224" s="55"/>
      <c r="V224" s="55"/>
      <c r="W224" s="55"/>
      <c r="X224" s="55"/>
      <c r="Y224" s="55"/>
      <c r="Z224" s="55"/>
      <c r="AA224" s="55"/>
    </row>
    <row r="225">
      <c r="A225" s="62"/>
      <c r="B225" s="63"/>
      <c r="C225" s="63"/>
      <c r="D225" s="64"/>
      <c r="E225" s="55"/>
      <c r="F225" s="65"/>
      <c r="G225" s="55"/>
      <c r="H225" s="55"/>
      <c r="I225" s="55"/>
      <c r="J225" s="55"/>
      <c r="K225" s="55"/>
      <c r="L225" s="55"/>
      <c r="M225" s="66"/>
      <c r="N225" s="63"/>
      <c r="O225" s="63"/>
      <c r="P225" s="67"/>
      <c r="Q225" s="55"/>
      <c r="R225" s="63"/>
      <c r="S225" s="55"/>
      <c r="T225" s="55"/>
      <c r="U225" s="55"/>
      <c r="V225" s="55"/>
      <c r="W225" s="55"/>
      <c r="X225" s="55"/>
      <c r="Y225" s="55"/>
      <c r="Z225" s="55"/>
      <c r="AA225" s="55"/>
    </row>
    <row r="226">
      <c r="A226" s="62"/>
      <c r="B226" s="63"/>
      <c r="C226" s="63"/>
      <c r="D226" s="64"/>
      <c r="E226" s="55"/>
      <c r="F226" s="65"/>
      <c r="G226" s="55"/>
      <c r="H226" s="55"/>
      <c r="I226" s="55"/>
      <c r="J226" s="55"/>
      <c r="K226" s="55"/>
      <c r="L226" s="55"/>
      <c r="M226" s="66"/>
      <c r="N226" s="63"/>
      <c r="O226" s="63"/>
      <c r="P226" s="67"/>
      <c r="Q226" s="55"/>
      <c r="R226" s="63"/>
      <c r="S226" s="55"/>
      <c r="T226" s="55"/>
      <c r="U226" s="55"/>
      <c r="V226" s="55"/>
      <c r="W226" s="55"/>
      <c r="X226" s="55"/>
      <c r="Y226" s="55"/>
      <c r="Z226" s="55"/>
      <c r="AA226" s="55"/>
    </row>
    <row r="227">
      <c r="A227" s="62"/>
      <c r="B227" s="63"/>
      <c r="C227" s="63"/>
      <c r="D227" s="64"/>
      <c r="E227" s="55"/>
      <c r="F227" s="65"/>
      <c r="G227" s="55"/>
      <c r="H227" s="55"/>
      <c r="I227" s="55"/>
      <c r="J227" s="55"/>
      <c r="K227" s="55"/>
      <c r="L227" s="55"/>
      <c r="M227" s="66"/>
      <c r="N227" s="63"/>
      <c r="O227" s="63"/>
      <c r="P227" s="67"/>
      <c r="Q227" s="55"/>
      <c r="R227" s="63"/>
      <c r="S227" s="55"/>
      <c r="T227" s="55"/>
      <c r="U227" s="55"/>
      <c r="V227" s="55"/>
      <c r="W227" s="55"/>
      <c r="X227" s="55"/>
      <c r="Y227" s="55"/>
      <c r="Z227" s="55"/>
      <c r="AA227" s="55"/>
    </row>
    <row r="228">
      <c r="A228" s="62"/>
      <c r="B228" s="63"/>
      <c r="C228" s="63"/>
      <c r="D228" s="64"/>
      <c r="E228" s="55"/>
      <c r="F228" s="65"/>
      <c r="G228" s="55"/>
      <c r="H228" s="55"/>
      <c r="I228" s="55"/>
      <c r="J228" s="55"/>
      <c r="K228" s="55"/>
      <c r="L228" s="55"/>
      <c r="M228" s="66"/>
      <c r="N228" s="63"/>
      <c r="O228" s="63"/>
      <c r="P228" s="67"/>
      <c r="Q228" s="55"/>
      <c r="R228" s="63"/>
      <c r="S228" s="55"/>
      <c r="T228" s="55"/>
      <c r="U228" s="55"/>
      <c r="V228" s="55"/>
      <c r="W228" s="55"/>
      <c r="X228" s="55"/>
      <c r="Y228" s="55"/>
      <c r="Z228" s="55"/>
      <c r="AA228" s="55"/>
    </row>
    <row r="229">
      <c r="A229" s="62"/>
      <c r="B229" s="63"/>
      <c r="C229" s="63"/>
      <c r="D229" s="64"/>
      <c r="E229" s="55"/>
      <c r="F229" s="65"/>
      <c r="G229" s="55"/>
      <c r="H229" s="55"/>
      <c r="I229" s="55"/>
      <c r="J229" s="55"/>
      <c r="K229" s="55"/>
      <c r="L229" s="55"/>
      <c r="M229" s="66"/>
      <c r="N229" s="63"/>
      <c r="O229" s="63"/>
      <c r="P229" s="67"/>
      <c r="Q229" s="55"/>
      <c r="R229" s="63"/>
      <c r="S229" s="55"/>
      <c r="T229" s="55"/>
      <c r="U229" s="55"/>
      <c r="V229" s="55"/>
      <c r="W229" s="55"/>
      <c r="X229" s="55"/>
      <c r="Y229" s="55"/>
      <c r="Z229" s="55"/>
      <c r="AA229" s="55"/>
    </row>
    <row r="230">
      <c r="A230" s="62"/>
      <c r="B230" s="63"/>
      <c r="C230" s="63"/>
      <c r="D230" s="64"/>
      <c r="E230" s="55"/>
      <c r="F230" s="65"/>
      <c r="G230" s="55"/>
      <c r="H230" s="55"/>
      <c r="I230" s="55"/>
      <c r="J230" s="55"/>
      <c r="K230" s="55"/>
      <c r="L230" s="55"/>
      <c r="M230" s="66"/>
      <c r="N230" s="63"/>
      <c r="O230" s="63"/>
      <c r="P230" s="67"/>
      <c r="Q230" s="55"/>
      <c r="R230" s="63"/>
      <c r="S230" s="55"/>
      <c r="T230" s="55"/>
      <c r="U230" s="55"/>
      <c r="V230" s="55"/>
      <c r="W230" s="55"/>
      <c r="X230" s="55"/>
      <c r="Y230" s="55"/>
      <c r="Z230" s="55"/>
      <c r="AA230" s="55"/>
    </row>
    <row r="231">
      <c r="A231" s="54"/>
      <c r="B231" s="55"/>
      <c r="C231" s="55"/>
      <c r="D231" s="56"/>
      <c r="E231" s="55"/>
      <c r="F231" s="54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</row>
    <row r="232">
      <c r="A232" s="54"/>
      <c r="B232" s="55"/>
      <c r="C232" s="55"/>
      <c r="D232" s="56"/>
      <c r="E232" s="55"/>
      <c r="F232" s="54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</row>
    <row r="233">
      <c r="A233" s="54"/>
      <c r="B233" s="55"/>
      <c r="C233" s="55"/>
      <c r="D233" s="56"/>
      <c r="E233" s="55"/>
      <c r="F233" s="54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</row>
    <row r="234">
      <c r="A234" s="54"/>
      <c r="B234" s="55"/>
      <c r="C234" s="55"/>
      <c r="D234" s="56"/>
      <c r="E234" s="55"/>
      <c r="F234" s="54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</row>
    <row r="235">
      <c r="A235" s="54"/>
      <c r="B235" s="55"/>
      <c r="C235" s="55"/>
      <c r="D235" s="56"/>
      <c r="E235" s="55"/>
      <c r="F235" s="54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</row>
    <row r="236">
      <c r="A236" s="54"/>
      <c r="B236" s="55"/>
      <c r="C236" s="55"/>
      <c r="D236" s="56"/>
      <c r="E236" s="55"/>
      <c r="F236" s="54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</row>
    <row r="237">
      <c r="A237" s="54"/>
      <c r="B237" s="55"/>
      <c r="C237" s="55"/>
      <c r="D237" s="56"/>
      <c r="E237" s="55"/>
      <c r="F237" s="54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</row>
    <row r="238">
      <c r="A238" s="54"/>
      <c r="B238" s="55"/>
      <c r="C238" s="55"/>
      <c r="D238" s="56"/>
      <c r="E238" s="55"/>
      <c r="F238" s="54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</row>
    <row r="239">
      <c r="A239" s="54"/>
      <c r="B239" s="55"/>
      <c r="C239" s="55"/>
      <c r="D239" s="56"/>
      <c r="E239" s="55"/>
      <c r="F239" s="54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</row>
    <row r="240">
      <c r="A240" s="54"/>
      <c r="B240" s="55"/>
      <c r="C240" s="55"/>
      <c r="D240" s="56"/>
      <c r="E240" s="55"/>
      <c r="F240" s="54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</row>
    <row r="241">
      <c r="A241" s="54"/>
      <c r="B241" s="55"/>
      <c r="C241" s="55"/>
      <c r="D241" s="56"/>
      <c r="E241" s="55"/>
      <c r="F241" s="54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</row>
    <row r="242">
      <c r="A242" s="54"/>
      <c r="B242" s="55"/>
      <c r="C242" s="55"/>
      <c r="D242" s="56"/>
      <c r="E242" s="55"/>
      <c r="F242" s="54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</row>
    <row r="243">
      <c r="A243" s="54"/>
      <c r="B243" s="55"/>
      <c r="C243" s="55"/>
      <c r="D243" s="56"/>
      <c r="E243" s="55"/>
      <c r="F243" s="54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</row>
    <row r="244">
      <c r="A244" s="54"/>
      <c r="B244" s="55"/>
      <c r="C244" s="55"/>
      <c r="D244" s="56"/>
      <c r="E244" s="55"/>
      <c r="F244" s="54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</row>
    <row r="245">
      <c r="A245" s="54"/>
      <c r="B245" s="55"/>
      <c r="C245" s="55"/>
      <c r="D245" s="56"/>
      <c r="E245" s="55"/>
      <c r="F245" s="54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</row>
    <row r="246">
      <c r="A246" s="54"/>
      <c r="B246" s="55"/>
      <c r="C246" s="55"/>
      <c r="D246" s="56"/>
      <c r="E246" s="55"/>
      <c r="F246" s="54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</row>
    <row r="247">
      <c r="A247" s="54"/>
      <c r="B247" s="55"/>
      <c r="C247" s="55"/>
      <c r="D247" s="56"/>
      <c r="E247" s="55"/>
      <c r="F247" s="54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</row>
    <row r="248">
      <c r="A248" s="54"/>
      <c r="B248" s="55"/>
      <c r="C248" s="55"/>
      <c r="D248" s="56"/>
      <c r="E248" s="55"/>
      <c r="F248" s="54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</row>
    <row r="249">
      <c r="A249" s="54"/>
      <c r="B249" s="55"/>
      <c r="C249" s="55"/>
      <c r="D249" s="56"/>
      <c r="E249" s="55"/>
      <c r="F249" s="54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</row>
    <row r="250">
      <c r="A250" s="54"/>
      <c r="B250" s="55"/>
      <c r="C250" s="55"/>
      <c r="D250" s="56"/>
      <c r="E250" s="55"/>
      <c r="F250" s="54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</row>
    <row r="251">
      <c r="A251" s="54"/>
      <c r="B251" s="55"/>
      <c r="C251" s="55"/>
      <c r="D251" s="56"/>
      <c r="E251" s="55"/>
      <c r="F251" s="54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</row>
    <row r="252">
      <c r="A252" s="54"/>
      <c r="B252" s="55"/>
      <c r="C252" s="55"/>
      <c r="D252" s="56"/>
      <c r="E252" s="55"/>
      <c r="F252" s="54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</row>
    <row r="253">
      <c r="A253" s="54"/>
      <c r="B253" s="55"/>
      <c r="C253" s="55"/>
      <c r="D253" s="56"/>
      <c r="E253" s="55"/>
      <c r="F253" s="54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</row>
    <row r="254">
      <c r="A254" s="54"/>
      <c r="B254" s="55"/>
      <c r="C254" s="55"/>
      <c r="D254" s="56"/>
      <c r="E254" s="55"/>
      <c r="F254" s="54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</row>
    <row r="255">
      <c r="A255" s="54"/>
      <c r="B255" s="55"/>
      <c r="C255" s="55"/>
      <c r="D255" s="56"/>
      <c r="E255" s="55"/>
      <c r="F255" s="54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</row>
    <row r="256">
      <c r="A256" s="54"/>
      <c r="B256" s="55"/>
      <c r="C256" s="55"/>
      <c r="D256" s="56"/>
      <c r="E256" s="55"/>
      <c r="F256" s="54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</row>
    <row r="257">
      <c r="A257" s="54"/>
      <c r="B257" s="55"/>
      <c r="C257" s="55"/>
      <c r="D257" s="56"/>
      <c r="E257" s="55"/>
      <c r="F257" s="54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</row>
    <row r="258">
      <c r="A258" s="54"/>
      <c r="B258" s="55"/>
      <c r="C258" s="55"/>
      <c r="D258" s="56"/>
      <c r="E258" s="55"/>
      <c r="F258" s="54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</row>
    <row r="259">
      <c r="A259" s="54"/>
      <c r="B259" s="55"/>
      <c r="C259" s="55"/>
      <c r="D259" s="56"/>
      <c r="E259" s="55"/>
      <c r="F259" s="54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</row>
    <row r="260">
      <c r="A260" s="54"/>
      <c r="B260" s="55"/>
      <c r="C260" s="55"/>
      <c r="D260" s="56"/>
      <c r="E260" s="55"/>
      <c r="F260" s="54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</row>
    <row r="261">
      <c r="A261" s="54"/>
      <c r="B261" s="55"/>
      <c r="C261" s="55"/>
      <c r="D261" s="56"/>
      <c r="E261" s="55"/>
      <c r="F261" s="54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</row>
    <row r="262">
      <c r="A262" s="54"/>
      <c r="B262" s="55"/>
      <c r="C262" s="55"/>
      <c r="D262" s="56"/>
      <c r="E262" s="55"/>
      <c r="F262" s="54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</row>
    <row r="263">
      <c r="A263" s="54"/>
      <c r="B263" s="55"/>
      <c r="C263" s="55"/>
      <c r="D263" s="56"/>
      <c r="E263" s="55"/>
      <c r="F263" s="54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</row>
    <row r="264">
      <c r="A264" s="54"/>
      <c r="B264" s="55"/>
      <c r="C264" s="55"/>
      <c r="D264" s="56"/>
      <c r="E264" s="55"/>
      <c r="F264" s="54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</row>
    <row r="265">
      <c r="A265" s="54"/>
      <c r="B265" s="55"/>
      <c r="C265" s="55"/>
      <c r="D265" s="56"/>
      <c r="E265" s="55"/>
      <c r="F265" s="54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</row>
    <row r="266">
      <c r="A266" s="54"/>
      <c r="B266" s="55"/>
      <c r="C266" s="55"/>
      <c r="D266" s="56"/>
      <c r="E266" s="55"/>
      <c r="F266" s="54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</row>
    <row r="267">
      <c r="A267" s="54"/>
      <c r="B267" s="55"/>
      <c r="C267" s="55"/>
      <c r="D267" s="56"/>
      <c r="E267" s="55"/>
      <c r="F267" s="54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</row>
    <row r="268">
      <c r="A268" s="54"/>
      <c r="B268" s="55"/>
      <c r="C268" s="55"/>
      <c r="D268" s="56"/>
      <c r="E268" s="55"/>
      <c r="F268" s="54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</row>
    <row r="269">
      <c r="A269" s="54"/>
      <c r="B269" s="55"/>
      <c r="C269" s="55"/>
      <c r="D269" s="56"/>
      <c r="E269" s="55"/>
      <c r="F269" s="54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</row>
    <row r="270">
      <c r="A270" s="54"/>
      <c r="B270" s="55"/>
      <c r="C270" s="55"/>
      <c r="D270" s="56"/>
      <c r="E270" s="55"/>
      <c r="F270" s="54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</row>
    <row r="271">
      <c r="A271" s="54"/>
      <c r="B271" s="55"/>
      <c r="C271" s="55"/>
      <c r="D271" s="56"/>
      <c r="E271" s="55"/>
      <c r="F271" s="54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</row>
    <row r="272">
      <c r="A272" s="54"/>
      <c r="B272" s="55"/>
      <c r="C272" s="55"/>
      <c r="D272" s="56"/>
      <c r="E272" s="55"/>
      <c r="F272" s="54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</row>
    <row r="273">
      <c r="A273" s="54"/>
      <c r="B273" s="55"/>
      <c r="C273" s="55"/>
      <c r="D273" s="56"/>
      <c r="E273" s="55"/>
      <c r="F273" s="54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</row>
    <row r="274">
      <c r="A274" s="54"/>
      <c r="B274" s="55"/>
      <c r="C274" s="55"/>
      <c r="D274" s="56"/>
      <c r="E274" s="55"/>
      <c r="F274" s="54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</row>
    <row r="275">
      <c r="A275" s="54"/>
      <c r="B275" s="55"/>
      <c r="C275" s="55"/>
      <c r="D275" s="56"/>
      <c r="E275" s="55"/>
      <c r="F275" s="54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</row>
    <row r="276">
      <c r="A276" s="54"/>
      <c r="B276" s="55"/>
      <c r="C276" s="55"/>
      <c r="D276" s="56"/>
      <c r="E276" s="55"/>
      <c r="F276" s="54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</row>
    <row r="277">
      <c r="A277" s="54"/>
      <c r="B277" s="55"/>
      <c r="C277" s="55"/>
      <c r="D277" s="56"/>
      <c r="E277" s="55"/>
      <c r="F277" s="54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</row>
    <row r="278">
      <c r="A278" s="54"/>
      <c r="B278" s="55"/>
      <c r="C278" s="55"/>
      <c r="D278" s="56"/>
      <c r="E278" s="55"/>
      <c r="F278" s="54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</row>
    <row r="279">
      <c r="A279" s="54"/>
      <c r="B279" s="55"/>
      <c r="C279" s="55"/>
      <c r="D279" s="56"/>
      <c r="E279" s="55"/>
      <c r="F279" s="54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</row>
    <row r="280">
      <c r="A280" s="54"/>
      <c r="B280" s="55"/>
      <c r="C280" s="55"/>
      <c r="D280" s="56"/>
      <c r="E280" s="55"/>
      <c r="F280" s="54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</row>
    <row r="281">
      <c r="A281" s="54"/>
      <c r="B281" s="55"/>
      <c r="C281" s="55"/>
      <c r="D281" s="56"/>
      <c r="E281" s="55"/>
      <c r="F281" s="54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</row>
    <row r="282">
      <c r="A282" s="54"/>
      <c r="B282" s="55"/>
      <c r="C282" s="55"/>
      <c r="D282" s="56"/>
      <c r="E282" s="55"/>
      <c r="F282" s="54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</row>
    <row r="283">
      <c r="A283" s="54"/>
      <c r="B283" s="55"/>
      <c r="C283" s="55"/>
      <c r="D283" s="56"/>
      <c r="E283" s="55"/>
      <c r="F283" s="54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55"/>
    </row>
    <row r="284">
      <c r="A284" s="54"/>
      <c r="B284" s="55"/>
      <c r="C284" s="55"/>
      <c r="D284" s="56"/>
      <c r="E284" s="55"/>
      <c r="F284" s="54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</row>
    <row r="285">
      <c r="A285" s="54"/>
      <c r="B285" s="55"/>
      <c r="C285" s="55"/>
      <c r="D285" s="56"/>
      <c r="E285" s="55"/>
      <c r="F285" s="54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</row>
    <row r="286">
      <c r="A286" s="54"/>
      <c r="B286" s="55"/>
      <c r="C286" s="55"/>
      <c r="D286" s="56"/>
      <c r="E286" s="55"/>
      <c r="F286" s="54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</row>
    <row r="287">
      <c r="A287" s="54"/>
      <c r="B287" s="55"/>
      <c r="C287" s="55"/>
      <c r="D287" s="56"/>
      <c r="E287" s="55"/>
      <c r="F287" s="54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</row>
    <row r="288">
      <c r="A288" s="54"/>
      <c r="B288" s="55"/>
      <c r="C288" s="55"/>
      <c r="D288" s="56"/>
      <c r="E288" s="55"/>
      <c r="F288" s="54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</row>
    <row r="289">
      <c r="A289" s="54"/>
      <c r="B289" s="55"/>
      <c r="C289" s="55"/>
      <c r="D289" s="56"/>
      <c r="E289" s="55"/>
      <c r="F289" s="54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</row>
    <row r="290">
      <c r="A290" s="54"/>
      <c r="B290" s="55"/>
      <c r="C290" s="55"/>
      <c r="D290" s="56"/>
      <c r="E290" s="55"/>
      <c r="F290" s="54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55"/>
    </row>
    <row r="291">
      <c r="A291" s="54"/>
      <c r="B291" s="55"/>
      <c r="C291" s="55"/>
      <c r="D291" s="56"/>
      <c r="E291" s="55"/>
      <c r="F291" s="54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</row>
    <row r="292">
      <c r="A292" s="54"/>
      <c r="B292" s="55"/>
      <c r="C292" s="55"/>
      <c r="D292" s="56"/>
      <c r="E292" s="55"/>
      <c r="F292" s="54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</row>
    <row r="293">
      <c r="A293" s="54"/>
      <c r="B293" s="55"/>
      <c r="C293" s="55"/>
      <c r="D293" s="56"/>
      <c r="E293" s="55"/>
      <c r="F293" s="54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</row>
    <row r="294">
      <c r="A294" s="54"/>
      <c r="B294" s="55"/>
      <c r="C294" s="55"/>
      <c r="D294" s="56"/>
      <c r="E294" s="55"/>
      <c r="F294" s="54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</row>
    <row r="295">
      <c r="A295" s="54"/>
      <c r="B295" s="55"/>
      <c r="C295" s="55"/>
      <c r="D295" s="56"/>
      <c r="E295" s="55"/>
      <c r="F295" s="54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</row>
    <row r="296">
      <c r="A296" s="54"/>
      <c r="B296" s="55"/>
      <c r="C296" s="55"/>
      <c r="D296" s="56"/>
      <c r="E296" s="55"/>
      <c r="F296" s="54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</row>
    <row r="297">
      <c r="A297" s="54"/>
      <c r="B297" s="55"/>
      <c r="C297" s="55"/>
      <c r="D297" s="56"/>
      <c r="E297" s="55"/>
      <c r="F297" s="54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</row>
    <row r="298">
      <c r="A298" s="54"/>
      <c r="B298" s="55"/>
      <c r="C298" s="55"/>
      <c r="D298" s="56"/>
      <c r="E298" s="55"/>
      <c r="F298" s="54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</row>
    <row r="299">
      <c r="A299" s="54"/>
      <c r="B299" s="55"/>
      <c r="C299" s="55"/>
      <c r="D299" s="56"/>
      <c r="E299" s="55"/>
      <c r="F299" s="54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</row>
    <row r="300">
      <c r="A300" s="54"/>
      <c r="B300" s="55"/>
      <c r="C300" s="55"/>
      <c r="D300" s="56"/>
      <c r="E300" s="55"/>
      <c r="F300" s="54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</row>
    <row r="301">
      <c r="A301" s="54"/>
      <c r="B301" s="55"/>
      <c r="C301" s="55"/>
      <c r="D301" s="56"/>
      <c r="E301" s="55"/>
      <c r="F301" s="54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</row>
    <row r="302">
      <c r="A302" s="54"/>
      <c r="B302" s="55"/>
      <c r="C302" s="55"/>
      <c r="D302" s="56"/>
      <c r="E302" s="55"/>
      <c r="F302" s="54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</row>
    <row r="303">
      <c r="A303" s="54"/>
      <c r="B303" s="55"/>
      <c r="C303" s="55"/>
      <c r="D303" s="56"/>
      <c r="E303" s="55"/>
      <c r="F303" s="54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55"/>
    </row>
    <row r="304">
      <c r="A304" s="54"/>
      <c r="B304" s="55"/>
      <c r="C304" s="55"/>
      <c r="D304" s="56"/>
      <c r="E304" s="55"/>
      <c r="F304" s="54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</row>
    <row r="305">
      <c r="A305" s="54"/>
      <c r="B305" s="55"/>
      <c r="C305" s="55"/>
      <c r="D305" s="56"/>
      <c r="E305" s="55"/>
      <c r="F305" s="54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</row>
    <row r="306">
      <c r="A306" s="54"/>
      <c r="B306" s="55"/>
      <c r="C306" s="55"/>
      <c r="D306" s="56"/>
      <c r="E306" s="55"/>
      <c r="F306" s="54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</row>
    <row r="307">
      <c r="A307" s="54"/>
      <c r="B307" s="55"/>
      <c r="C307" s="55"/>
      <c r="D307" s="56"/>
      <c r="E307" s="55"/>
      <c r="F307" s="54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</row>
    <row r="308">
      <c r="A308" s="54"/>
      <c r="B308" s="55"/>
      <c r="C308" s="55"/>
      <c r="D308" s="56"/>
      <c r="E308" s="55"/>
      <c r="F308" s="54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</row>
    <row r="309">
      <c r="A309" s="54"/>
      <c r="B309" s="55"/>
      <c r="C309" s="55"/>
      <c r="D309" s="56"/>
      <c r="E309" s="55"/>
      <c r="F309" s="54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</row>
    <row r="310">
      <c r="A310" s="54"/>
      <c r="B310" s="55"/>
      <c r="C310" s="55"/>
      <c r="D310" s="56"/>
      <c r="E310" s="55"/>
      <c r="F310" s="54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</row>
    <row r="311">
      <c r="A311" s="54"/>
      <c r="B311" s="55"/>
      <c r="C311" s="55"/>
      <c r="D311" s="56"/>
      <c r="E311" s="55"/>
      <c r="F311" s="54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</row>
    <row r="312">
      <c r="A312" s="54"/>
      <c r="B312" s="55"/>
      <c r="C312" s="55"/>
      <c r="D312" s="56"/>
      <c r="E312" s="55"/>
      <c r="F312" s="54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</row>
    <row r="313">
      <c r="A313" s="54"/>
      <c r="B313" s="55"/>
      <c r="C313" s="55"/>
      <c r="D313" s="56"/>
      <c r="E313" s="55"/>
      <c r="F313" s="54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</row>
    <row r="314">
      <c r="A314" s="54"/>
      <c r="B314" s="55"/>
      <c r="C314" s="55"/>
      <c r="D314" s="56"/>
      <c r="E314" s="55"/>
      <c r="F314" s="54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</row>
    <row r="315">
      <c r="A315" s="54"/>
      <c r="B315" s="55"/>
      <c r="C315" s="55"/>
      <c r="D315" s="56"/>
      <c r="E315" s="55"/>
      <c r="F315" s="54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</row>
    <row r="316">
      <c r="A316" s="54"/>
      <c r="B316" s="55"/>
      <c r="C316" s="55"/>
      <c r="D316" s="56"/>
      <c r="E316" s="55"/>
      <c r="F316" s="54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</row>
    <row r="317">
      <c r="A317" s="54"/>
      <c r="B317" s="55"/>
      <c r="C317" s="55"/>
      <c r="D317" s="56"/>
      <c r="E317" s="55"/>
      <c r="F317" s="54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</row>
    <row r="318">
      <c r="A318" s="54"/>
      <c r="B318" s="55"/>
      <c r="C318" s="55"/>
      <c r="D318" s="56"/>
      <c r="E318" s="55"/>
      <c r="F318" s="54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</row>
    <row r="319">
      <c r="A319" s="54"/>
      <c r="B319" s="55"/>
      <c r="C319" s="55"/>
      <c r="D319" s="56"/>
      <c r="E319" s="55"/>
      <c r="F319" s="54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</row>
    <row r="320">
      <c r="A320" s="54"/>
      <c r="B320" s="55"/>
      <c r="C320" s="55"/>
      <c r="D320" s="56"/>
      <c r="E320" s="55"/>
      <c r="F320" s="54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</row>
    <row r="321">
      <c r="A321" s="54"/>
      <c r="B321" s="55"/>
      <c r="C321" s="55"/>
      <c r="D321" s="56"/>
      <c r="E321" s="55"/>
      <c r="F321" s="54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</row>
    <row r="322">
      <c r="A322" s="54"/>
      <c r="B322" s="55"/>
      <c r="C322" s="55"/>
      <c r="D322" s="56"/>
      <c r="E322" s="55"/>
      <c r="F322" s="54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</row>
    <row r="323">
      <c r="A323" s="54"/>
      <c r="B323" s="55"/>
      <c r="C323" s="55"/>
      <c r="D323" s="56"/>
      <c r="E323" s="55"/>
      <c r="F323" s="54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</row>
    <row r="324">
      <c r="A324" s="54"/>
      <c r="B324" s="55"/>
      <c r="C324" s="55"/>
      <c r="D324" s="56"/>
      <c r="E324" s="55"/>
      <c r="F324" s="54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</row>
    <row r="325">
      <c r="A325" s="54"/>
      <c r="B325" s="55"/>
      <c r="C325" s="55"/>
      <c r="D325" s="56"/>
      <c r="E325" s="55"/>
      <c r="F325" s="54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</row>
    <row r="326">
      <c r="A326" s="54"/>
      <c r="B326" s="55"/>
      <c r="C326" s="55"/>
      <c r="D326" s="56"/>
      <c r="E326" s="55"/>
      <c r="F326" s="54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</row>
    <row r="327">
      <c r="A327" s="54"/>
      <c r="B327" s="55"/>
      <c r="C327" s="55"/>
      <c r="D327" s="56"/>
      <c r="E327" s="55"/>
      <c r="F327" s="54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</row>
    <row r="328">
      <c r="A328" s="54"/>
      <c r="B328" s="55"/>
      <c r="C328" s="55"/>
      <c r="D328" s="56"/>
      <c r="E328" s="55"/>
      <c r="F328" s="54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</row>
    <row r="329">
      <c r="A329" s="54"/>
      <c r="B329" s="55"/>
      <c r="C329" s="55"/>
      <c r="D329" s="56"/>
      <c r="E329" s="55"/>
      <c r="F329" s="54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</row>
    <row r="330">
      <c r="A330" s="54"/>
      <c r="B330" s="55"/>
      <c r="C330" s="55"/>
      <c r="D330" s="56"/>
      <c r="E330" s="55"/>
      <c r="F330" s="54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</row>
    <row r="331">
      <c r="A331" s="57"/>
      <c r="B331" s="58"/>
      <c r="C331" s="58"/>
      <c r="D331" s="59"/>
      <c r="E331" s="58"/>
      <c r="F331" s="60"/>
      <c r="G331" s="55"/>
      <c r="H331" s="55"/>
      <c r="I331" s="55"/>
      <c r="J331" s="55"/>
      <c r="K331" s="55"/>
      <c r="L331" s="55"/>
      <c r="M331" s="58"/>
      <c r="N331" s="58"/>
      <c r="O331" s="58"/>
      <c r="P331" s="58"/>
      <c r="Q331" s="58"/>
      <c r="R331" s="61"/>
      <c r="S331" s="55"/>
      <c r="T331" s="55"/>
      <c r="U331" s="55"/>
      <c r="V331" s="55"/>
      <c r="W331" s="55"/>
      <c r="X331" s="55"/>
      <c r="Y331" s="55"/>
      <c r="Z331" s="55"/>
      <c r="AA331" s="55"/>
    </row>
    <row r="332">
      <c r="A332" s="62"/>
      <c r="B332" s="63"/>
      <c r="C332" s="63"/>
      <c r="D332" s="64"/>
      <c r="E332" s="55"/>
      <c r="F332" s="65"/>
      <c r="G332" s="55"/>
      <c r="H332" s="55"/>
      <c r="I332" s="55"/>
      <c r="J332" s="55"/>
      <c r="K332" s="55"/>
      <c r="L332" s="55"/>
      <c r="M332" s="66"/>
      <c r="N332" s="63"/>
      <c r="O332" s="63"/>
      <c r="P332" s="67"/>
      <c r="Q332" s="55"/>
      <c r="R332" s="63"/>
      <c r="S332" s="55"/>
      <c r="T332" s="55"/>
      <c r="U332" s="55"/>
      <c r="V332" s="55"/>
      <c r="W332" s="55"/>
      <c r="X332" s="55"/>
      <c r="Y332" s="55"/>
      <c r="Z332" s="55"/>
      <c r="AA332" s="55"/>
    </row>
    <row r="333">
      <c r="A333" s="68"/>
      <c r="B333" s="69"/>
      <c r="C333" s="69"/>
      <c r="D333" s="70"/>
      <c r="E333" s="71"/>
      <c r="F333" s="72"/>
      <c r="G333" s="55"/>
      <c r="H333" s="55"/>
      <c r="I333" s="55"/>
      <c r="J333" s="55"/>
      <c r="K333" s="55"/>
      <c r="L333" s="55"/>
      <c r="M333" s="73"/>
      <c r="N333" s="69"/>
      <c r="O333" s="69"/>
      <c r="P333" s="74"/>
      <c r="Q333" s="71"/>
      <c r="R333" s="69"/>
      <c r="S333" s="55"/>
      <c r="T333" s="55"/>
      <c r="U333" s="55"/>
      <c r="V333" s="55"/>
      <c r="W333" s="55"/>
      <c r="X333" s="55"/>
      <c r="Y333" s="55"/>
      <c r="Z333" s="55"/>
      <c r="AA333" s="55"/>
    </row>
    <row r="334">
      <c r="A334" s="62"/>
      <c r="B334" s="63"/>
      <c r="C334" s="63"/>
      <c r="D334" s="64"/>
      <c r="E334" s="55"/>
      <c r="F334" s="65"/>
      <c r="G334" s="55"/>
      <c r="H334" s="55"/>
      <c r="I334" s="55"/>
      <c r="J334" s="55"/>
      <c r="K334" s="55"/>
      <c r="L334" s="55"/>
      <c r="M334" s="66"/>
      <c r="N334" s="63"/>
      <c r="O334" s="63"/>
      <c r="P334" s="67"/>
      <c r="Q334" s="55"/>
      <c r="R334" s="63"/>
      <c r="S334" s="55"/>
      <c r="T334" s="55"/>
      <c r="U334" s="55"/>
      <c r="V334" s="55"/>
      <c r="W334" s="55"/>
      <c r="X334" s="55"/>
      <c r="Y334" s="55"/>
      <c r="Z334" s="55"/>
      <c r="AA334" s="55"/>
    </row>
    <row r="335">
      <c r="A335" s="62"/>
      <c r="B335" s="63"/>
      <c r="C335" s="63"/>
      <c r="D335" s="64"/>
      <c r="E335" s="55"/>
      <c r="F335" s="65"/>
      <c r="G335" s="55"/>
      <c r="H335" s="55"/>
      <c r="I335" s="55"/>
      <c r="J335" s="55"/>
      <c r="K335" s="55"/>
      <c r="L335" s="55"/>
      <c r="M335" s="66"/>
      <c r="N335" s="63"/>
      <c r="O335" s="63"/>
      <c r="P335" s="67"/>
      <c r="Q335" s="55"/>
      <c r="R335" s="63"/>
      <c r="S335" s="55"/>
      <c r="T335" s="55"/>
      <c r="U335" s="55"/>
      <c r="V335" s="55"/>
      <c r="W335" s="55"/>
      <c r="X335" s="55"/>
      <c r="Y335" s="55"/>
      <c r="Z335" s="55"/>
      <c r="AA335" s="55"/>
    </row>
    <row r="336">
      <c r="A336" s="62"/>
      <c r="B336" s="63"/>
      <c r="C336" s="63"/>
      <c r="D336" s="64"/>
      <c r="E336" s="55"/>
      <c r="F336" s="65"/>
      <c r="G336" s="55"/>
      <c r="H336" s="55"/>
      <c r="I336" s="55"/>
      <c r="J336" s="55"/>
      <c r="K336" s="55"/>
      <c r="L336" s="55"/>
      <c r="M336" s="66"/>
      <c r="N336" s="63"/>
      <c r="O336" s="63"/>
      <c r="P336" s="67"/>
      <c r="Q336" s="55"/>
      <c r="R336" s="63"/>
      <c r="S336" s="55"/>
      <c r="T336" s="55"/>
      <c r="U336" s="55"/>
      <c r="V336" s="55"/>
      <c r="W336" s="55"/>
      <c r="X336" s="55"/>
      <c r="Y336" s="55"/>
      <c r="Z336" s="55"/>
      <c r="AA336" s="55"/>
    </row>
    <row r="337">
      <c r="A337" s="62"/>
      <c r="B337" s="63"/>
      <c r="C337" s="63"/>
      <c r="D337" s="64"/>
      <c r="E337" s="55"/>
      <c r="F337" s="65"/>
      <c r="G337" s="55"/>
      <c r="H337" s="55"/>
      <c r="I337" s="55"/>
      <c r="J337" s="55"/>
      <c r="K337" s="55"/>
      <c r="L337" s="55"/>
      <c r="M337" s="66"/>
      <c r="N337" s="63"/>
      <c r="O337" s="63"/>
      <c r="P337" s="67"/>
      <c r="Q337" s="55"/>
      <c r="R337" s="63"/>
      <c r="S337" s="55"/>
      <c r="T337" s="55"/>
      <c r="U337" s="55"/>
      <c r="V337" s="55"/>
      <c r="W337" s="55"/>
      <c r="X337" s="55"/>
      <c r="Y337" s="55"/>
      <c r="Z337" s="55"/>
      <c r="AA337" s="55"/>
    </row>
    <row r="338">
      <c r="A338" s="62"/>
      <c r="B338" s="63"/>
      <c r="C338" s="63"/>
      <c r="D338" s="64"/>
      <c r="E338" s="55"/>
      <c r="F338" s="65"/>
      <c r="G338" s="55"/>
      <c r="H338" s="55"/>
      <c r="I338" s="55"/>
      <c r="J338" s="55"/>
      <c r="K338" s="55"/>
      <c r="L338" s="55"/>
      <c r="M338" s="66"/>
      <c r="N338" s="63"/>
      <c r="O338" s="63"/>
      <c r="P338" s="67"/>
      <c r="Q338" s="55"/>
      <c r="R338" s="63"/>
      <c r="S338" s="55"/>
      <c r="T338" s="55"/>
      <c r="U338" s="55"/>
      <c r="V338" s="55"/>
      <c r="W338" s="55"/>
      <c r="X338" s="55"/>
      <c r="Y338" s="55"/>
      <c r="Z338" s="55"/>
      <c r="AA338" s="55"/>
    </row>
    <row r="339">
      <c r="A339" s="62"/>
      <c r="B339" s="63"/>
      <c r="C339" s="63"/>
      <c r="D339" s="64"/>
      <c r="E339" s="55"/>
      <c r="F339" s="65"/>
      <c r="G339" s="55"/>
      <c r="H339" s="55"/>
      <c r="I339" s="55"/>
      <c r="J339" s="55"/>
      <c r="K339" s="55"/>
      <c r="L339" s="55"/>
      <c r="M339" s="66"/>
      <c r="N339" s="63"/>
      <c r="O339" s="63"/>
      <c r="P339" s="67"/>
      <c r="Q339" s="55"/>
      <c r="R339" s="63"/>
      <c r="S339" s="55"/>
      <c r="T339" s="55"/>
      <c r="U339" s="55"/>
      <c r="V339" s="55"/>
      <c r="W339" s="55"/>
      <c r="X339" s="55"/>
      <c r="Y339" s="55"/>
      <c r="Z339" s="55"/>
      <c r="AA339" s="55"/>
    </row>
    <row r="340">
      <c r="A340" s="62"/>
      <c r="B340" s="63"/>
      <c r="C340" s="63"/>
      <c r="D340" s="64"/>
      <c r="E340" s="55"/>
      <c r="F340" s="65"/>
      <c r="G340" s="55"/>
      <c r="H340" s="55"/>
      <c r="I340" s="55"/>
      <c r="J340" s="55"/>
      <c r="K340" s="55"/>
      <c r="L340" s="55"/>
      <c r="M340" s="66"/>
      <c r="N340" s="63"/>
      <c r="O340" s="63"/>
      <c r="P340" s="67"/>
      <c r="Q340" s="55"/>
      <c r="R340" s="63"/>
      <c r="S340" s="55"/>
      <c r="T340" s="55"/>
      <c r="U340" s="55"/>
      <c r="V340" s="55"/>
      <c r="W340" s="55"/>
      <c r="X340" s="55"/>
      <c r="Y340" s="55"/>
      <c r="Z340" s="55"/>
      <c r="AA340" s="55"/>
    </row>
    <row r="341">
      <c r="A341" s="54"/>
      <c r="B341" s="55"/>
      <c r="C341" s="55"/>
      <c r="D341" s="56"/>
      <c r="E341" s="55"/>
      <c r="F341" s="54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</row>
    <row r="342">
      <c r="A342" s="54"/>
      <c r="B342" s="55"/>
      <c r="C342" s="55"/>
      <c r="D342" s="56"/>
      <c r="E342" s="55"/>
      <c r="F342" s="54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</row>
    <row r="343">
      <c r="A343" s="54"/>
      <c r="B343" s="55"/>
      <c r="C343" s="55"/>
      <c r="D343" s="56"/>
      <c r="E343" s="55"/>
      <c r="F343" s="54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</row>
    <row r="344">
      <c r="A344" s="54"/>
      <c r="B344" s="55"/>
      <c r="C344" s="55"/>
      <c r="D344" s="56"/>
      <c r="E344" s="55"/>
      <c r="F344" s="54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</row>
    <row r="345">
      <c r="A345" s="54"/>
      <c r="B345" s="55"/>
      <c r="C345" s="55"/>
      <c r="D345" s="56"/>
      <c r="E345" s="55"/>
      <c r="F345" s="54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</row>
    <row r="346">
      <c r="A346" s="54"/>
      <c r="B346" s="55"/>
      <c r="C346" s="55"/>
      <c r="D346" s="56"/>
      <c r="E346" s="55"/>
      <c r="F346" s="54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</row>
    <row r="347">
      <c r="A347" s="54"/>
      <c r="B347" s="55"/>
      <c r="C347" s="55"/>
      <c r="D347" s="56"/>
      <c r="E347" s="55"/>
      <c r="F347" s="54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</row>
    <row r="348">
      <c r="A348" s="54"/>
      <c r="B348" s="55"/>
      <c r="C348" s="55"/>
      <c r="D348" s="56"/>
      <c r="E348" s="55"/>
      <c r="F348" s="54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</row>
    <row r="349">
      <c r="A349" s="54"/>
      <c r="B349" s="55"/>
      <c r="C349" s="55"/>
      <c r="D349" s="56"/>
      <c r="E349" s="55"/>
      <c r="F349" s="54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</row>
    <row r="350">
      <c r="A350" s="54"/>
      <c r="B350" s="55"/>
      <c r="C350" s="55"/>
      <c r="D350" s="56"/>
      <c r="E350" s="55"/>
      <c r="F350" s="54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</row>
    <row r="351">
      <c r="A351" s="54"/>
      <c r="B351" s="55"/>
      <c r="C351" s="55"/>
      <c r="D351" s="56"/>
      <c r="E351" s="55"/>
      <c r="F351" s="54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55"/>
    </row>
    <row r="352">
      <c r="A352" s="54"/>
      <c r="B352" s="55"/>
      <c r="C352" s="55"/>
      <c r="D352" s="56"/>
      <c r="E352" s="55"/>
      <c r="F352" s="54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</row>
    <row r="353">
      <c r="A353" s="54"/>
      <c r="B353" s="55"/>
      <c r="C353" s="55"/>
      <c r="D353" s="56"/>
      <c r="E353" s="55"/>
      <c r="F353" s="54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</row>
    <row r="354">
      <c r="A354" s="54"/>
      <c r="B354" s="55"/>
      <c r="C354" s="55"/>
      <c r="D354" s="56"/>
      <c r="E354" s="55"/>
      <c r="F354" s="54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</row>
    <row r="355">
      <c r="A355" s="54"/>
      <c r="B355" s="55"/>
      <c r="C355" s="55"/>
      <c r="D355" s="56"/>
      <c r="E355" s="55"/>
      <c r="F355" s="54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</row>
    <row r="356">
      <c r="A356" s="54"/>
      <c r="B356" s="55"/>
      <c r="C356" s="55"/>
      <c r="D356" s="56"/>
      <c r="E356" s="55"/>
      <c r="F356" s="54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</row>
    <row r="357">
      <c r="A357" s="54"/>
      <c r="B357" s="55"/>
      <c r="C357" s="55"/>
      <c r="D357" s="56"/>
      <c r="E357" s="55"/>
      <c r="F357" s="54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</row>
    <row r="358">
      <c r="A358" s="54"/>
      <c r="B358" s="55"/>
      <c r="C358" s="55"/>
      <c r="D358" s="56"/>
      <c r="E358" s="55"/>
      <c r="F358" s="54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</row>
    <row r="359">
      <c r="A359" s="54"/>
      <c r="B359" s="55"/>
      <c r="C359" s="55"/>
      <c r="D359" s="56"/>
      <c r="E359" s="55"/>
      <c r="F359" s="54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</row>
    <row r="360">
      <c r="A360" s="54"/>
      <c r="B360" s="55"/>
      <c r="C360" s="55"/>
      <c r="D360" s="56"/>
      <c r="E360" s="55"/>
      <c r="F360" s="54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</row>
    <row r="361">
      <c r="A361" s="54"/>
      <c r="B361" s="55"/>
      <c r="C361" s="55"/>
      <c r="D361" s="56"/>
      <c r="E361" s="55"/>
      <c r="F361" s="54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</row>
    <row r="362">
      <c r="A362" s="54"/>
      <c r="B362" s="55"/>
      <c r="C362" s="55"/>
      <c r="D362" s="56"/>
      <c r="E362" s="55"/>
      <c r="F362" s="54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</row>
    <row r="363">
      <c r="A363" s="54"/>
      <c r="B363" s="55"/>
      <c r="C363" s="55"/>
      <c r="D363" s="56"/>
      <c r="E363" s="55"/>
      <c r="F363" s="54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</row>
    <row r="364">
      <c r="A364" s="54"/>
      <c r="B364" s="55"/>
      <c r="C364" s="55"/>
      <c r="D364" s="56"/>
      <c r="E364" s="55"/>
      <c r="F364" s="54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</row>
    <row r="365">
      <c r="A365" s="54"/>
      <c r="B365" s="55"/>
      <c r="C365" s="55"/>
      <c r="D365" s="56"/>
      <c r="E365" s="55"/>
      <c r="F365" s="54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</row>
    <row r="366">
      <c r="A366" s="54"/>
      <c r="B366" s="55"/>
      <c r="C366" s="55"/>
      <c r="D366" s="56"/>
      <c r="E366" s="55"/>
      <c r="F366" s="54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</row>
    <row r="367">
      <c r="A367" s="54"/>
      <c r="B367" s="55"/>
      <c r="C367" s="55"/>
      <c r="D367" s="56"/>
      <c r="E367" s="55"/>
      <c r="F367" s="54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</row>
    <row r="368">
      <c r="A368" s="54"/>
      <c r="B368" s="55"/>
      <c r="C368" s="55"/>
      <c r="D368" s="56"/>
      <c r="E368" s="55"/>
      <c r="F368" s="54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</row>
    <row r="369">
      <c r="A369" s="54"/>
      <c r="B369" s="55"/>
      <c r="C369" s="55"/>
      <c r="D369" s="56"/>
      <c r="E369" s="55"/>
      <c r="F369" s="54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</row>
    <row r="370">
      <c r="A370" s="54"/>
      <c r="B370" s="55"/>
      <c r="C370" s="55"/>
      <c r="D370" s="56"/>
      <c r="E370" s="55"/>
      <c r="F370" s="54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</row>
    <row r="371">
      <c r="A371" s="54"/>
      <c r="B371" s="55"/>
      <c r="C371" s="55"/>
      <c r="D371" s="56"/>
      <c r="E371" s="55"/>
      <c r="F371" s="54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55"/>
    </row>
    <row r="372">
      <c r="A372" s="54"/>
      <c r="B372" s="55"/>
      <c r="C372" s="55"/>
      <c r="D372" s="56"/>
      <c r="E372" s="55"/>
      <c r="F372" s="54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</row>
    <row r="373">
      <c r="A373" s="54"/>
      <c r="B373" s="55"/>
      <c r="C373" s="55"/>
      <c r="D373" s="56"/>
      <c r="E373" s="55"/>
      <c r="F373" s="54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55"/>
    </row>
    <row r="374">
      <c r="A374" s="54"/>
      <c r="B374" s="55"/>
      <c r="C374" s="55"/>
      <c r="D374" s="56"/>
      <c r="E374" s="55"/>
      <c r="F374" s="54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</row>
    <row r="375">
      <c r="A375" s="54"/>
      <c r="B375" s="55"/>
      <c r="C375" s="55"/>
      <c r="D375" s="56"/>
      <c r="E375" s="55"/>
      <c r="F375" s="54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</row>
    <row r="376">
      <c r="A376" s="54"/>
      <c r="B376" s="55"/>
      <c r="C376" s="55"/>
      <c r="D376" s="56"/>
      <c r="E376" s="55"/>
      <c r="F376" s="54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55"/>
    </row>
    <row r="377">
      <c r="A377" s="54"/>
      <c r="B377" s="55"/>
      <c r="C377" s="55"/>
      <c r="D377" s="56"/>
      <c r="E377" s="55"/>
      <c r="F377" s="54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</row>
    <row r="378">
      <c r="A378" s="54"/>
      <c r="B378" s="55"/>
      <c r="C378" s="55"/>
      <c r="D378" s="56"/>
      <c r="E378" s="55"/>
      <c r="F378" s="54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</row>
    <row r="379">
      <c r="A379" s="54"/>
      <c r="B379" s="55"/>
      <c r="C379" s="55"/>
      <c r="D379" s="56"/>
      <c r="E379" s="55"/>
      <c r="F379" s="54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</row>
    <row r="380">
      <c r="A380" s="54"/>
      <c r="B380" s="55"/>
      <c r="C380" s="55"/>
      <c r="D380" s="56"/>
      <c r="E380" s="55"/>
      <c r="F380" s="54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</row>
    <row r="381">
      <c r="A381" s="54"/>
      <c r="B381" s="55"/>
      <c r="C381" s="55"/>
      <c r="D381" s="56"/>
      <c r="E381" s="55"/>
      <c r="F381" s="54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</row>
    <row r="382">
      <c r="A382" s="54"/>
      <c r="B382" s="55"/>
      <c r="C382" s="55"/>
      <c r="D382" s="56"/>
      <c r="E382" s="55"/>
      <c r="F382" s="54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</row>
    <row r="383">
      <c r="A383" s="54"/>
      <c r="B383" s="55"/>
      <c r="C383" s="55"/>
      <c r="D383" s="56"/>
      <c r="E383" s="55"/>
      <c r="F383" s="54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</row>
    <row r="384">
      <c r="A384" s="54"/>
      <c r="B384" s="55"/>
      <c r="C384" s="55"/>
      <c r="D384" s="56"/>
      <c r="E384" s="55"/>
      <c r="F384" s="54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</row>
    <row r="385">
      <c r="A385" s="54"/>
      <c r="B385" s="55"/>
      <c r="C385" s="55"/>
      <c r="D385" s="56"/>
      <c r="E385" s="55"/>
      <c r="F385" s="54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</row>
    <row r="386">
      <c r="A386" s="54"/>
      <c r="B386" s="55"/>
      <c r="C386" s="55"/>
      <c r="D386" s="56"/>
      <c r="E386" s="55"/>
      <c r="F386" s="54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</row>
    <row r="387">
      <c r="A387" s="54"/>
      <c r="B387" s="55"/>
      <c r="C387" s="55"/>
      <c r="D387" s="56"/>
      <c r="E387" s="55"/>
      <c r="F387" s="54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/>
    </row>
    <row r="388">
      <c r="A388" s="54"/>
      <c r="B388" s="55"/>
      <c r="C388" s="55"/>
      <c r="D388" s="56"/>
      <c r="E388" s="55"/>
      <c r="F388" s="54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5"/>
    </row>
    <row r="389">
      <c r="A389" s="54"/>
      <c r="B389" s="55"/>
      <c r="C389" s="55"/>
      <c r="D389" s="56"/>
      <c r="E389" s="55"/>
      <c r="F389" s="54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/>
    </row>
    <row r="390">
      <c r="A390" s="54"/>
      <c r="B390" s="55"/>
      <c r="C390" s="55"/>
      <c r="D390" s="56"/>
      <c r="E390" s="55"/>
      <c r="F390" s="54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55"/>
    </row>
    <row r="391">
      <c r="A391" s="54"/>
      <c r="B391" s="55"/>
      <c r="C391" s="55"/>
      <c r="D391" s="56"/>
      <c r="E391" s="55"/>
      <c r="F391" s="54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55"/>
    </row>
    <row r="392">
      <c r="A392" s="54"/>
      <c r="B392" s="55"/>
      <c r="C392" s="55"/>
      <c r="D392" s="56"/>
      <c r="E392" s="55"/>
      <c r="F392" s="54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55"/>
    </row>
    <row r="393">
      <c r="A393" s="54"/>
      <c r="B393" s="55"/>
      <c r="C393" s="55"/>
      <c r="D393" s="56"/>
      <c r="E393" s="55"/>
      <c r="F393" s="54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55"/>
    </row>
    <row r="394">
      <c r="A394" s="54"/>
      <c r="B394" s="55"/>
      <c r="C394" s="55"/>
      <c r="D394" s="56"/>
      <c r="E394" s="55"/>
      <c r="F394" s="54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</row>
    <row r="395">
      <c r="A395" s="54"/>
      <c r="B395" s="55"/>
      <c r="C395" s="55"/>
      <c r="D395" s="56"/>
      <c r="E395" s="55"/>
      <c r="F395" s="54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</row>
    <row r="396">
      <c r="A396" s="54"/>
      <c r="B396" s="55"/>
      <c r="C396" s="55"/>
      <c r="D396" s="56"/>
      <c r="E396" s="55"/>
      <c r="F396" s="54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55"/>
    </row>
    <row r="397">
      <c r="A397" s="54"/>
      <c r="B397" s="55"/>
      <c r="C397" s="55"/>
      <c r="D397" s="56"/>
      <c r="E397" s="55"/>
      <c r="F397" s="54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55"/>
    </row>
    <row r="398">
      <c r="A398" s="54"/>
      <c r="B398" s="55"/>
      <c r="C398" s="55"/>
      <c r="D398" s="56"/>
      <c r="E398" s="55"/>
      <c r="F398" s="54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</row>
    <row r="399">
      <c r="A399" s="54"/>
      <c r="B399" s="55"/>
      <c r="C399" s="55"/>
      <c r="D399" s="56"/>
      <c r="E399" s="55"/>
      <c r="F399" s="54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55"/>
    </row>
    <row r="400">
      <c r="A400" s="54"/>
      <c r="B400" s="55"/>
      <c r="C400" s="55"/>
      <c r="D400" s="56"/>
      <c r="E400" s="55"/>
      <c r="F400" s="54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55"/>
    </row>
    <row r="401">
      <c r="A401" s="54"/>
      <c r="B401" s="55"/>
      <c r="C401" s="55"/>
      <c r="D401" s="56"/>
      <c r="E401" s="55"/>
      <c r="F401" s="54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55"/>
    </row>
    <row r="402">
      <c r="A402" s="54"/>
      <c r="B402" s="55"/>
      <c r="C402" s="55"/>
      <c r="D402" s="56"/>
      <c r="E402" s="55"/>
      <c r="F402" s="54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</row>
    <row r="403">
      <c r="A403" s="54"/>
      <c r="B403" s="55"/>
      <c r="C403" s="55"/>
      <c r="D403" s="56"/>
      <c r="E403" s="55"/>
      <c r="F403" s="54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  <c r="AA403" s="55"/>
    </row>
    <row r="404">
      <c r="A404" s="54"/>
      <c r="B404" s="55"/>
      <c r="C404" s="55"/>
      <c r="D404" s="56"/>
      <c r="E404" s="55"/>
      <c r="F404" s="54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55"/>
    </row>
    <row r="405">
      <c r="A405" s="54"/>
      <c r="B405" s="55"/>
      <c r="C405" s="55"/>
      <c r="D405" s="56"/>
      <c r="E405" s="55"/>
      <c r="F405" s="54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</row>
    <row r="406">
      <c r="A406" s="54"/>
      <c r="B406" s="55"/>
      <c r="C406" s="55"/>
      <c r="D406" s="56"/>
      <c r="E406" s="55"/>
      <c r="F406" s="54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</row>
    <row r="407">
      <c r="A407" s="54"/>
      <c r="B407" s="55"/>
      <c r="C407" s="55"/>
      <c r="D407" s="56"/>
      <c r="E407" s="55"/>
      <c r="F407" s="54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</row>
    <row r="408">
      <c r="A408" s="54"/>
      <c r="B408" s="55"/>
      <c r="C408" s="55"/>
      <c r="D408" s="56"/>
      <c r="E408" s="55"/>
      <c r="F408" s="54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</row>
    <row r="409">
      <c r="A409" s="54"/>
      <c r="B409" s="55"/>
      <c r="C409" s="55"/>
      <c r="D409" s="56"/>
      <c r="E409" s="55"/>
      <c r="F409" s="54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55"/>
    </row>
    <row r="410">
      <c r="A410" s="54"/>
      <c r="B410" s="55"/>
      <c r="C410" s="55"/>
      <c r="D410" s="56"/>
      <c r="E410" s="55"/>
      <c r="F410" s="54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</row>
    <row r="411">
      <c r="A411" s="54"/>
      <c r="B411" s="55"/>
      <c r="C411" s="55"/>
      <c r="D411" s="56"/>
      <c r="E411" s="55"/>
      <c r="F411" s="54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55"/>
    </row>
    <row r="412">
      <c r="A412" s="54"/>
      <c r="B412" s="55"/>
      <c r="C412" s="55"/>
      <c r="D412" s="56"/>
      <c r="E412" s="55"/>
      <c r="F412" s="54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</row>
    <row r="413">
      <c r="A413" s="54"/>
      <c r="B413" s="55"/>
      <c r="C413" s="55"/>
      <c r="D413" s="56"/>
      <c r="E413" s="55"/>
      <c r="F413" s="54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</row>
    <row r="414">
      <c r="A414" s="54"/>
      <c r="B414" s="55"/>
      <c r="C414" s="55"/>
      <c r="D414" s="56"/>
      <c r="E414" s="55"/>
      <c r="F414" s="54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</row>
    <row r="415">
      <c r="A415" s="54"/>
      <c r="B415" s="55"/>
      <c r="C415" s="55"/>
      <c r="D415" s="56"/>
      <c r="E415" s="55"/>
      <c r="F415" s="54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</row>
    <row r="416">
      <c r="A416" s="54"/>
      <c r="B416" s="55"/>
      <c r="C416" s="55"/>
      <c r="D416" s="56"/>
      <c r="E416" s="55"/>
      <c r="F416" s="54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</row>
    <row r="417">
      <c r="A417" s="54"/>
      <c r="B417" s="55"/>
      <c r="C417" s="55"/>
      <c r="D417" s="56"/>
      <c r="E417" s="55"/>
      <c r="F417" s="54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</row>
    <row r="418">
      <c r="A418" s="54"/>
      <c r="B418" s="55"/>
      <c r="C418" s="55"/>
      <c r="D418" s="56"/>
      <c r="E418" s="55"/>
      <c r="F418" s="54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55"/>
    </row>
    <row r="419">
      <c r="A419" s="54"/>
      <c r="B419" s="55"/>
      <c r="C419" s="55"/>
      <c r="D419" s="56"/>
      <c r="E419" s="55"/>
      <c r="F419" s="54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55"/>
    </row>
    <row r="420">
      <c r="A420" s="54"/>
      <c r="B420" s="55"/>
      <c r="C420" s="55"/>
      <c r="D420" s="56"/>
      <c r="E420" s="55"/>
      <c r="F420" s="54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55"/>
    </row>
    <row r="421">
      <c r="A421" s="54"/>
      <c r="B421" s="55"/>
      <c r="C421" s="55"/>
      <c r="D421" s="56"/>
      <c r="E421" s="55"/>
      <c r="F421" s="54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55"/>
    </row>
    <row r="422">
      <c r="A422" s="54"/>
      <c r="B422" s="55"/>
      <c r="C422" s="55"/>
      <c r="D422" s="56"/>
      <c r="E422" s="55"/>
      <c r="F422" s="54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</row>
    <row r="423">
      <c r="A423" s="54"/>
      <c r="B423" s="55"/>
      <c r="C423" s="55"/>
      <c r="D423" s="56"/>
      <c r="E423" s="55"/>
      <c r="F423" s="54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</row>
    <row r="424">
      <c r="A424" s="54"/>
      <c r="B424" s="55"/>
      <c r="C424" s="55"/>
      <c r="D424" s="56"/>
      <c r="E424" s="55"/>
      <c r="F424" s="54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</row>
    <row r="425">
      <c r="A425" s="54"/>
      <c r="B425" s="55"/>
      <c r="C425" s="55"/>
      <c r="D425" s="56"/>
      <c r="E425" s="55"/>
      <c r="F425" s="54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</row>
    <row r="426">
      <c r="A426" s="54"/>
      <c r="B426" s="55"/>
      <c r="C426" s="55"/>
      <c r="D426" s="56"/>
      <c r="E426" s="55"/>
      <c r="F426" s="54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</row>
    <row r="427">
      <c r="A427" s="54"/>
      <c r="B427" s="55"/>
      <c r="C427" s="55"/>
      <c r="D427" s="56"/>
      <c r="E427" s="55"/>
      <c r="F427" s="54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</row>
    <row r="428">
      <c r="A428" s="54"/>
      <c r="B428" s="55"/>
      <c r="C428" s="55"/>
      <c r="D428" s="56"/>
      <c r="E428" s="55"/>
      <c r="F428" s="54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</row>
    <row r="429">
      <c r="A429" s="54"/>
      <c r="B429" s="55"/>
      <c r="C429" s="55"/>
      <c r="D429" s="56"/>
      <c r="E429" s="55"/>
      <c r="F429" s="54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</row>
    <row r="430">
      <c r="A430" s="54"/>
      <c r="B430" s="55"/>
      <c r="C430" s="55"/>
      <c r="D430" s="56"/>
      <c r="E430" s="55"/>
      <c r="F430" s="54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</row>
    <row r="431">
      <c r="A431" s="54"/>
      <c r="B431" s="55"/>
      <c r="C431" s="55"/>
      <c r="D431" s="56"/>
      <c r="E431" s="55"/>
      <c r="F431" s="54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55"/>
    </row>
    <row r="432">
      <c r="A432" s="54"/>
      <c r="B432" s="55"/>
      <c r="C432" s="55"/>
      <c r="D432" s="56"/>
      <c r="E432" s="55"/>
      <c r="F432" s="54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55"/>
    </row>
    <row r="433">
      <c r="A433" s="54"/>
      <c r="B433" s="55"/>
      <c r="C433" s="55"/>
      <c r="D433" s="56"/>
      <c r="E433" s="55"/>
      <c r="F433" s="54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</row>
    <row r="434">
      <c r="A434" s="54"/>
      <c r="B434" s="55"/>
      <c r="C434" s="55"/>
      <c r="D434" s="56"/>
      <c r="E434" s="55"/>
      <c r="F434" s="54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</row>
    <row r="435">
      <c r="A435" s="54"/>
      <c r="B435" s="55"/>
      <c r="C435" s="55"/>
      <c r="D435" s="56"/>
      <c r="E435" s="55"/>
      <c r="F435" s="54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</row>
    <row r="436">
      <c r="A436" s="54"/>
      <c r="B436" s="55"/>
      <c r="C436" s="55"/>
      <c r="D436" s="56"/>
      <c r="E436" s="55"/>
      <c r="F436" s="54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</row>
    <row r="437">
      <c r="A437" s="54"/>
      <c r="B437" s="55"/>
      <c r="C437" s="55"/>
      <c r="D437" s="56"/>
      <c r="E437" s="55"/>
      <c r="F437" s="54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55"/>
    </row>
    <row r="438">
      <c r="A438" s="54"/>
      <c r="B438" s="55"/>
      <c r="C438" s="55"/>
      <c r="D438" s="56"/>
      <c r="E438" s="55"/>
      <c r="F438" s="54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</row>
    <row r="439">
      <c r="A439" s="54"/>
      <c r="B439" s="55"/>
      <c r="C439" s="55"/>
      <c r="D439" s="56"/>
      <c r="E439" s="55"/>
      <c r="F439" s="54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</row>
    <row r="440">
      <c r="A440" s="54"/>
      <c r="B440" s="55"/>
      <c r="C440" s="55"/>
      <c r="D440" s="56"/>
      <c r="E440" s="55"/>
      <c r="F440" s="54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</row>
    <row r="441">
      <c r="A441" s="57"/>
      <c r="B441" s="58"/>
      <c r="C441" s="58"/>
      <c r="D441" s="59"/>
      <c r="E441" s="58"/>
      <c r="F441" s="60"/>
      <c r="G441" s="55"/>
      <c r="H441" s="55"/>
      <c r="I441" s="55"/>
      <c r="J441" s="55"/>
      <c r="K441" s="55"/>
      <c r="L441" s="55"/>
      <c r="M441" s="58"/>
      <c r="N441" s="58"/>
      <c r="O441" s="58"/>
      <c r="P441" s="58"/>
      <c r="Q441" s="58"/>
      <c r="R441" s="61"/>
      <c r="S441" s="55"/>
      <c r="T441" s="55"/>
      <c r="U441" s="55"/>
      <c r="V441" s="55"/>
      <c r="W441" s="55"/>
      <c r="X441" s="55"/>
      <c r="Y441" s="55"/>
      <c r="Z441" s="55"/>
      <c r="AA441" s="55"/>
    </row>
    <row r="442">
      <c r="A442" s="62"/>
      <c r="B442" s="63"/>
      <c r="C442" s="63"/>
      <c r="D442" s="64"/>
      <c r="E442" s="55"/>
      <c r="F442" s="65"/>
      <c r="G442" s="55"/>
      <c r="H442" s="55"/>
      <c r="I442" s="55"/>
      <c r="J442" s="55"/>
      <c r="K442" s="55"/>
      <c r="L442" s="55"/>
      <c r="M442" s="66"/>
      <c r="N442" s="63"/>
      <c r="O442" s="63"/>
      <c r="P442" s="67"/>
      <c r="Q442" s="55"/>
      <c r="R442" s="63"/>
      <c r="S442" s="55"/>
      <c r="T442" s="55"/>
      <c r="U442" s="55"/>
      <c r="V442" s="55"/>
      <c r="W442" s="55"/>
      <c r="X442" s="55"/>
      <c r="Y442" s="55"/>
      <c r="Z442" s="55"/>
      <c r="AA442" s="55"/>
    </row>
    <row r="443">
      <c r="A443" s="68"/>
      <c r="B443" s="69"/>
      <c r="C443" s="69"/>
      <c r="D443" s="70"/>
      <c r="E443" s="71"/>
      <c r="F443" s="72"/>
      <c r="G443" s="55"/>
      <c r="H443" s="55"/>
      <c r="I443" s="55"/>
      <c r="J443" s="55"/>
      <c r="K443" s="55"/>
      <c r="L443" s="55"/>
      <c r="M443" s="73"/>
      <c r="N443" s="69"/>
      <c r="O443" s="69"/>
      <c r="P443" s="74"/>
      <c r="Q443" s="71"/>
      <c r="R443" s="69"/>
      <c r="S443" s="55"/>
      <c r="T443" s="55"/>
      <c r="U443" s="55"/>
      <c r="V443" s="55"/>
      <c r="W443" s="55"/>
      <c r="X443" s="55"/>
      <c r="Y443" s="55"/>
      <c r="Z443" s="55"/>
      <c r="AA443" s="55"/>
    </row>
    <row r="444">
      <c r="A444" s="62"/>
      <c r="B444" s="63"/>
      <c r="C444" s="63"/>
      <c r="D444" s="64"/>
      <c r="E444" s="55"/>
      <c r="F444" s="65"/>
      <c r="G444" s="55"/>
      <c r="H444" s="55"/>
      <c r="I444" s="55"/>
      <c r="J444" s="55"/>
      <c r="K444" s="55"/>
      <c r="L444" s="55"/>
      <c r="M444" s="66"/>
      <c r="N444" s="63"/>
      <c r="O444" s="63"/>
      <c r="P444" s="67"/>
      <c r="Q444" s="55"/>
      <c r="R444" s="63"/>
      <c r="S444" s="55"/>
      <c r="T444" s="55"/>
      <c r="U444" s="55"/>
      <c r="V444" s="55"/>
      <c r="W444" s="55"/>
      <c r="X444" s="55"/>
      <c r="Y444" s="55"/>
      <c r="Z444" s="55"/>
      <c r="AA444" s="55"/>
    </row>
    <row r="445">
      <c r="A445" s="62"/>
      <c r="B445" s="63"/>
      <c r="C445" s="63"/>
      <c r="D445" s="64"/>
      <c r="E445" s="55"/>
      <c r="F445" s="65"/>
      <c r="G445" s="55"/>
      <c r="H445" s="55"/>
      <c r="I445" s="55"/>
      <c r="J445" s="55"/>
      <c r="K445" s="55"/>
      <c r="L445" s="55"/>
      <c r="M445" s="66"/>
      <c r="N445" s="63"/>
      <c r="O445" s="63"/>
      <c r="P445" s="67"/>
      <c r="Q445" s="55"/>
      <c r="R445" s="63"/>
      <c r="S445" s="55"/>
      <c r="T445" s="55"/>
      <c r="U445" s="55"/>
      <c r="V445" s="55"/>
      <c r="W445" s="55"/>
      <c r="X445" s="55"/>
      <c r="Y445" s="55"/>
      <c r="Z445" s="55"/>
      <c r="AA445" s="55"/>
    </row>
    <row r="446">
      <c r="A446" s="62"/>
      <c r="B446" s="63"/>
      <c r="C446" s="63"/>
      <c r="D446" s="64"/>
      <c r="E446" s="55"/>
      <c r="F446" s="65"/>
      <c r="G446" s="55"/>
      <c r="H446" s="55"/>
      <c r="I446" s="55"/>
      <c r="J446" s="55"/>
      <c r="K446" s="55"/>
      <c r="L446" s="55"/>
      <c r="M446" s="66"/>
      <c r="N446" s="63"/>
      <c r="O446" s="63"/>
      <c r="P446" s="67"/>
      <c r="Q446" s="55"/>
      <c r="R446" s="63"/>
      <c r="S446" s="55"/>
      <c r="T446" s="55"/>
      <c r="U446" s="55"/>
      <c r="V446" s="55"/>
      <c r="W446" s="55"/>
      <c r="X446" s="55"/>
      <c r="Y446" s="55"/>
      <c r="Z446" s="55"/>
      <c r="AA446" s="55"/>
    </row>
    <row r="447">
      <c r="A447" s="62"/>
      <c r="B447" s="63"/>
      <c r="C447" s="63"/>
      <c r="D447" s="64"/>
      <c r="E447" s="55"/>
      <c r="F447" s="65"/>
      <c r="G447" s="55"/>
      <c r="H447" s="55"/>
      <c r="I447" s="55"/>
      <c r="J447" s="55"/>
      <c r="K447" s="55"/>
      <c r="L447" s="55"/>
      <c r="M447" s="66"/>
      <c r="N447" s="63"/>
      <c r="O447" s="63"/>
      <c r="P447" s="67"/>
      <c r="Q447" s="55"/>
      <c r="R447" s="63"/>
      <c r="S447" s="55"/>
      <c r="T447" s="55"/>
      <c r="U447" s="55"/>
      <c r="V447" s="55"/>
      <c r="W447" s="55"/>
      <c r="X447" s="55"/>
      <c r="Y447" s="55"/>
      <c r="Z447" s="55"/>
      <c r="AA447" s="55"/>
    </row>
    <row r="448">
      <c r="A448" s="62"/>
      <c r="B448" s="63"/>
      <c r="C448" s="63"/>
      <c r="D448" s="64"/>
      <c r="E448" s="55"/>
      <c r="F448" s="65"/>
      <c r="G448" s="55"/>
      <c r="H448" s="55"/>
      <c r="I448" s="55"/>
      <c r="J448" s="55"/>
      <c r="K448" s="55"/>
      <c r="L448" s="55"/>
      <c r="M448" s="66"/>
      <c r="N448" s="63"/>
      <c r="O448" s="63"/>
      <c r="P448" s="67"/>
      <c r="Q448" s="55"/>
      <c r="R448" s="63"/>
      <c r="S448" s="55"/>
      <c r="T448" s="55"/>
      <c r="U448" s="55"/>
      <c r="V448" s="55"/>
      <c r="W448" s="55"/>
      <c r="X448" s="55"/>
      <c r="Y448" s="55"/>
      <c r="Z448" s="55"/>
      <c r="AA448" s="55"/>
    </row>
    <row r="449">
      <c r="A449" s="62"/>
      <c r="B449" s="63"/>
      <c r="C449" s="63"/>
      <c r="D449" s="64"/>
      <c r="E449" s="55"/>
      <c r="F449" s="65"/>
      <c r="G449" s="55"/>
      <c r="H449" s="55"/>
      <c r="I449" s="55"/>
      <c r="J449" s="55"/>
      <c r="K449" s="55"/>
      <c r="L449" s="55"/>
      <c r="M449" s="66"/>
      <c r="N449" s="63"/>
      <c r="O449" s="63"/>
      <c r="P449" s="67"/>
      <c r="Q449" s="55"/>
      <c r="R449" s="63"/>
      <c r="S449" s="55"/>
      <c r="T449" s="55"/>
      <c r="U449" s="55"/>
      <c r="V449" s="55"/>
      <c r="W449" s="55"/>
      <c r="X449" s="55"/>
      <c r="Y449" s="55"/>
      <c r="Z449" s="55"/>
      <c r="AA449" s="55"/>
    </row>
    <row r="450">
      <c r="A450" s="62"/>
      <c r="B450" s="63"/>
      <c r="C450" s="63"/>
      <c r="D450" s="64"/>
      <c r="E450" s="55"/>
      <c r="F450" s="65"/>
      <c r="G450" s="55"/>
      <c r="H450" s="55"/>
      <c r="I450" s="55"/>
      <c r="J450" s="55"/>
      <c r="K450" s="55"/>
      <c r="L450" s="55"/>
      <c r="M450" s="66"/>
      <c r="N450" s="63"/>
      <c r="O450" s="63"/>
      <c r="P450" s="67"/>
      <c r="Q450" s="55"/>
      <c r="R450" s="63"/>
      <c r="S450" s="55"/>
      <c r="T450" s="55"/>
      <c r="U450" s="55"/>
      <c r="V450" s="55"/>
      <c r="W450" s="55"/>
      <c r="X450" s="55"/>
      <c r="Y450" s="55"/>
      <c r="Z450" s="55"/>
      <c r="AA450" s="55"/>
    </row>
    <row r="451">
      <c r="A451" s="54"/>
      <c r="B451" s="55"/>
      <c r="C451" s="55"/>
      <c r="D451" s="56"/>
      <c r="E451" s="55"/>
      <c r="F451" s="54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55"/>
    </row>
    <row r="452">
      <c r="A452" s="54"/>
      <c r="B452" s="55"/>
      <c r="C452" s="55"/>
      <c r="D452" s="56"/>
      <c r="E452" s="55"/>
      <c r="F452" s="54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</row>
    <row r="453">
      <c r="A453" s="54"/>
      <c r="B453" s="55"/>
      <c r="C453" s="55"/>
      <c r="D453" s="56"/>
      <c r="E453" s="55"/>
      <c r="F453" s="54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</row>
    <row r="454">
      <c r="A454" s="54"/>
      <c r="B454" s="55"/>
      <c r="C454" s="55"/>
      <c r="D454" s="56"/>
      <c r="E454" s="55"/>
      <c r="F454" s="54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  <c r="AA454" s="55"/>
    </row>
    <row r="455">
      <c r="A455" s="54"/>
      <c r="B455" s="55"/>
      <c r="C455" s="55"/>
      <c r="D455" s="56"/>
      <c r="E455" s="55"/>
      <c r="F455" s="54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55"/>
    </row>
    <row r="456">
      <c r="A456" s="54"/>
      <c r="B456" s="55"/>
      <c r="C456" s="55"/>
      <c r="D456" s="56"/>
      <c r="E456" s="55"/>
      <c r="F456" s="54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</row>
    <row r="457">
      <c r="A457" s="54"/>
      <c r="B457" s="55"/>
      <c r="C457" s="55"/>
      <c r="D457" s="56"/>
      <c r="E457" s="55"/>
      <c r="F457" s="54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55"/>
    </row>
    <row r="458">
      <c r="A458" s="54"/>
      <c r="B458" s="55"/>
      <c r="C458" s="55"/>
      <c r="D458" s="56"/>
      <c r="E458" s="55"/>
      <c r="F458" s="54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</row>
    <row r="459">
      <c r="A459" s="54"/>
      <c r="B459" s="55"/>
      <c r="C459" s="55"/>
      <c r="D459" s="56"/>
      <c r="E459" s="55"/>
      <c r="F459" s="54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55"/>
    </row>
    <row r="460">
      <c r="A460" s="54"/>
      <c r="B460" s="55"/>
      <c r="C460" s="55"/>
      <c r="D460" s="56"/>
      <c r="E460" s="55"/>
      <c r="F460" s="54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</row>
    <row r="461">
      <c r="A461" s="54"/>
      <c r="B461" s="55"/>
      <c r="C461" s="55"/>
      <c r="D461" s="56"/>
      <c r="E461" s="55"/>
      <c r="F461" s="54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55"/>
    </row>
    <row r="462">
      <c r="A462" s="54"/>
      <c r="B462" s="55"/>
      <c r="C462" s="55"/>
      <c r="D462" s="56"/>
      <c r="E462" s="55"/>
      <c r="F462" s="54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</row>
    <row r="463">
      <c r="A463" s="54"/>
      <c r="B463" s="55"/>
      <c r="C463" s="55"/>
      <c r="D463" s="56"/>
      <c r="E463" s="55"/>
      <c r="F463" s="54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</row>
    <row r="464">
      <c r="A464" s="54"/>
      <c r="B464" s="55"/>
      <c r="C464" s="55"/>
      <c r="D464" s="56"/>
      <c r="E464" s="55"/>
      <c r="F464" s="54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55"/>
    </row>
    <row r="465">
      <c r="A465" s="54"/>
      <c r="B465" s="55"/>
      <c r="C465" s="55"/>
      <c r="D465" s="56"/>
      <c r="E465" s="55"/>
      <c r="F465" s="54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55"/>
    </row>
    <row r="466">
      <c r="A466" s="54"/>
      <c r="B466" s="55"/>
      <c r="C466" s="55"/>
      <c r="D466" s="56"/>
      <c r="E466" s="55"/>
      <c r="F466" s="54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55"/>
    </row>
    <row r="467">
      <c r="A467" s="54"/>
      <c r="B467" s="55"/>
      <c r="C467" s="55"/>
      <c r="D467" s="56"/>
      <c r="E467" s="55"/>
      <c r="F467" s="54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55"/>
    </row>
    <row r="468">
      <c r="A468" s="54"/>
      <c r="B468" s="55"/>
      <c r="C468" s="55"/>
      <c r="D468" s="56"/>
      <c r="E468" s="55"/>
      <c r="F468" s="54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</row>
    <row r="469">
      <c r="A469" s="54"/>
      <c r="B469" s="55"/>
      <c r="C469" s="55"/>
      <c r="D469" s="56"/>
      <c r="E469" s="55"/>
      <c r="F469" s="54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</row>
    <row r="470">
      <c r="A470" s="54"/>
      <c r="B470" s="55"/>
      <c r="C470" s="55"/>
      <c r="D470" s="56"/>
      <c r="E470" s="55"/>
      <c r="F470" s="54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55"/>
    </row>
    <row r="471">
      <c r="A471" s="54"/>
      <c r="B471" s="55"/>
      <c r="C471" s="55"/>
      <c r="D471" s="56"/>
      <c r="E471" s="55"/>
      <c r="F471" s="54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</row>
    <row r="472">
      <c r="A472" s="54"/>
      <c r="B472" s="55"/>
      <c r="C472" s="55"/>
      <c r="D472" s="56"/>
      <c r="E472" s="55"/>
      <c r="F472" s="54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55"/>
    </row>
    <row r="473">
      <c r="A473" s="54"/>
      <c r="B473" s="55"/>
      <c r="C473" s="55"/>
      <c r="D473" s="56"/>
      <c r="E473" s="55"/>
      <c r="F473" s="54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</row>
    <row r="474">
      <c r="A474" s="54"/>
      <c r="B474" s="55"/>
      <c r="C474" s="55"/>
      <c r="D474" s="56"/>
      <c r="E474" s="55"/>
      <c r="F474" s="54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</row>
    <row r="475">
      <c r="A475" s="54"/>
      <c r="B475" s="55"/>
      <c r="C475" s="55"/>
      <c r="D475" s="56"/>
      <c r="E475" s="55"/>
      <c r="F475" s="54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</row>
    <row r="476">
      <c r="A476" s="54"/>
      <c r="B476" s="55"/>
      <c r="C476" s="55"/>
      <c r="D476" s="56"/>
      <c r="E476" s="55"/>
      <c r="F476" s="54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</row>
    <row r="477">
      <c r="A477" s="54"/>
      <c r="B477" s="55"/>
      <c r="C477" s="55"/>
      <c r="D477" s="56"/>
      <c r="E477" s="55"/>
      <c r="F477" s="54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</row>
    <row r="478">
      <c r="A478" s="54"/>
      <c r="B478" s="55"/>
      <c r="C478" s="55"/>
      <c r="D478" s="56"/>
      <c r="E478" s="55"/>
      <c r="F478" s="54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</row>
    <row r="479">
      <c r="A479" s="54"/>
      <c r="B479" s="55"/>
      <c r="C479" s="55"/>
      <c r="D479" s="56"/>
      <c r="E479" s="55"/>
      <c r="F479" s="54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</row>
    <row r="480">
      <c r="A480" s="54"/>
      <c r="B480" s="55"/>
      <c r="C480" s="55"/>
      <c r="D480" s="56"/>
      <c r="E480" s="55"/>
      <c r="F480" s="54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</row>
    <row r="481">
      <c r="A481" s="54"/>
      <c r="B481" s="55"/>
      <c r="C481" s="55"/>
      <c r="D481" s="56"/>
      <c r="E481" s="55"/>
      <c r="F481" s="54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</row>
    <row r="482">
      <c r="A482" s="54"/>
      <c r="B482" s="55"/>
      <c r="C482" s="55"/>
      <c r="D482" s="56"/>
      <c r="E482" s="55"/>
      <c r="F482" s="54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</row>
    <row r="483">
      <c r="A483" s="54"/>
      <c r="B483" s="55"/>
      <c r="C483" s="55"/>
      <c r="D483" s="56"/>
      <c r="E483" s="55"/>
      <c r="F483" s="54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55"/>
    </row>
    <row r="484">
      <c r="A484" s="54"/>
      <c r="B484" s="55"/>
      <c r="C484" s="55"/>
      <c r="D484" s="56"/>
      <c r="E484" s="55"/>
      <c r="F484" s="54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</row>
    <row r="485">
      <c r="A485" s="54"/>
      <c r="B485" s="55"/>
      <c r="C485" s="55"/>
      <c r="D485" s="56"/>
      <c r="E485" s="55"/>
      <c r="F485" s="54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</row>
    <row r="486">
      <c r="A486" s="54"/>
      <c r="B486" s="55"/>
      <c r="C486" s="55"/>
      <c r="D486" s="56"/>
      <c r="E486" s="55"/>
      <c r="F486" s="54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</row>
    <row r="487">
      <c r="A487" s="54"/>
      <c r="B487" s="55"/>
      <c r="C487" s="55"/>
      <c r="D487" s="56"/>
      <c r="E487" s="55"/>
      <c r="F487" s="54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55"/>
    </row>
    <row r="488">
      <c r="A488" s="54"/>
      <c r="B488" s="55"/>
      <c r="C488" s="55"/>
      <c r="D488" s="56"/>
      <c r="E488" s="55"/>
      <c r="F488" s="54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  <c r="AA488" s="55"/>
    </row>
    <row r="489">
      <c r="A489" s="54"/>
      <c r="B489" s="55"/>
      <c r="C489" s="55"/>
      <c r="D489" s="56"/>
      <c r="E489" s="55"/>
      <c r="F489" s="54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</row>
    <row r="490">
      <c r="A490" s="54"/>
      <c r="B490" s="55"/>
      <c r="C490" s="55"/>
      <c r="D490" s="56"/>
      <c r="E490" s="55"/>
      <c r="F490" s="54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  <c r="AA490" s="55"/>
    </row>
    <row r="491">
      <c r="A491" s="54"/>
      <c r="B491" s="55"/>
      <c r="C491" s="55"/>
      <c r="D491" s="56"/>
      <c r="E491" s="55"/>
      <c r="F491" s="54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55"/>
    </row>
    <row r="492">
      <c r="A492" s="54"/>
      <c r="B492" s="55"/>
      <c r="C492" s="55"/>
      <c r="D492" s="56"/>
      <c r="E492" s="55"/>
      <c r="F492" s="54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55"/>
    </row>
    <row r="493">
      <c r="A493" s="54"/>
      <c r="B493" s="55"/>
      <c r="C493" s="55"/>
      <c r="D493" s="56"/>
      <c r="E493" s="55"/>
      <c r="F493" s="54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55"/>
    </row>
    <row r="494">
      <c r="A494" s="54"/>
      <c r="B494" s="55"/>
      <c r="C494" s="55"/>
      <c r="D494" s="56"/>
      <c r="E494" s="55"/>
      <c r="F494" s="54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  <c r="AA494" s="55"/>
    </row>
    <row r="495">
      <c r="A495" s="54"/>
      <c r="B495" s="55"/>
      <c r="C495" s="55"/>
      <c r="D495" s="56"/>
      <c r="E495" s="55"/>
      <c r="F495" s="54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  <c r="AA495" s="55"/>
    </row>
    <row r="496">
      <c r="A496" s="54"/>
      <c r="B496" s="55"/>
      <c r="C496" s="55"/>
      <c r="D496" s="56"/>
      <c r="E496" s="55"/>
      <c r="F496" s="54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55"/>
    </row>
    <row r="497">
      <c r="A497" s="54"/>
      <c r="B497" s="55"/>
      <c r="C497" s="55"/>
      <c r="D497" s="56"/>
      <c r="E497" s="55"/>
      <c r="F497" s="54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  <c r="AA497" s="55"/>
    </row>
    <row r="498">
      <c r="A498" s="54"/>
      <c r="B498" s="55"/>
      <c r="C498" s="55"/>
      <c r="D498" s="56"/>
      <c r="E498" s="55"/>
      <c r="F498" s="54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  <c r="AA498" s="55"/>
    </row>
    <row r="499">
      <c r="A499" s="54"/>
      <c r="B499" s="55"/>
      <c r="C499" s="55"/>
      <c r="D499" s="56"/>
      <c r="E499" s="55"/>
      <c r="F499" s="54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55"/>
    </row>
    <row r="500">
      <c r="A500" s="54"/>
      <c r="B500" s="55"/>
      <c r="C500" s="55"/>
      <c r="D500" s="56"/>
      <c r="E500" s="55"/>
      <c r="F500" s="54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</row>
    <row r="501">
      <c r="A501" s="54"/>
      <c r="B501" s="55"/>
      <c r="C501" s="55"/>
      <c r="D501" s="56"/>
      <c r="E501" s="55"/>
      <c r="F501" s="54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</row>
    <row r="502">
      <c r="A502" s="54"/>
      <c r="B502" s="55"/>
      <c r="C502" s="55"/>
      <c r="D502" s="56"/>
      <c r="E502" s="55"/>
      <c r="F502" s="54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55"/>
    </row>
    <row r="503">
      <c r="A503" s="54"/>
      <c r="B503" s="55"/>
      <c r="C503" s="55"/>
      <c r="D503" s="56"/>
      <c r="E503" s="55"/>
      <c r="F503" s="54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</row>
    <row r="504">
      <c r="A504" s="54"/>
      <c r="B504" s="55"/>
      <c r="C504" s="55"/>
      <c r="D504" s="56"/>
      <c r="E504" s="55"/>
      <c r="F504" s="54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</row>
    <row r="505">
      <c r="A505" s="54"/>
      <c r="B505" s="55"/>
      <c r="C505" s="55"/>
      <c r="D505" s="56"/>
      <c r="E505" s="55"/>
      <c r="F505" s="54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</row>
    <row r="506">
      <c r="A506" s="54"/>
      <c r="B506" s="55"/>
      <c r="C506" s="55"/>
      <c r="D506" s="56"/>
      <c r="E506" s="55"/>
      <c r="F506" s="54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</row>
    <row r="507">
      <c r="A507" s="54"/>
      <c r="B507" s="55"/>
      <c r="C507" s="55"/>
      <c r="D507" s="56"/>
      <c r="E507" s="55"/>
      <c r="F507" s="54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</row>
    <row r="508">
      <c r="A508" s="54"/>
      <c r="B508" s="55"/>
      <c r="C508" s="55"/>
      <c r="D508" s="56"/>
      <c r="E508" s="55"/>
      <c r="F508" s="54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55"/>
    </row>
    <row r="509">
      <c r="A509" s="54"/>
      <c r="B509" s="55"/>
      <c r="C509" s="55"/>
      <c r="D509" s="56"/>
      <c r="E509" s="55"/>
      <c r="F509" s="54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55"/>
    </row>
    <row r="510">
      <c r="A510" s="54"/>
      <c r="B510" s="55"/>
      <c r="C510" s="55"/>
      <c r="D510" s="56"/>
      <c r="E510" s="55"/>
      <c r="F510" s="54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  <c r="AA510" s="55"/>
    </row>
    <row r="511">
      <c r="A511" s="54"/>
      <c r="B511" s="55"/>
      <c r="C511" s="55"/>
      <c r="D511" s="56"/>
      <c r="E511" s="55"/>
      <c r="F511" s="54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</row>
    <row r="512">
      <c r="A512" s="54"/>
      <c r="B512" s="55"/>
      <c r="C512" s="55"/>
      <c r="D512" s="56"/>
      <c r="E512" s="55"/>
      <c r="F512" s="54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  <c r="AA512" s="55"/>
    </row>
    <row r="513">
      <c r="A513" s="54"/>
      <c r="B513" s="55"/>
      <c r="C513" s="55"/>
      <c r="D513" s="56"/>
      <c r="E513" s="55"/>
      <c r="F513" s="54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  <c r="AA513" s="55"/>
    </row>
    <row r="514">
      <c r="A514" s="54"/>
      <c r="B514" s="55"/>
      <c r="C514" s="55"/>
      <c r="D514" s="56"/>
      <c r="E514" s="55"/>
      <c r="F514" s="54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55"/>
    </row>
    <row r="515">
      <c r="A515" s="54"/>
      <c r="B515" s="55"/>
      <c r="C515" s="55"/>
      <c r="D515" s="56"/>
      <c r="E515" s="55"/>
      <c r="F515" s="54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  <c r="AA515" s="55"/>
    </row>
    <row r="516">
      <c r="A516" s="54"/>
      <c r="B516" s="55"/>
      <c r="C516" s="55"/>
      <c r="D516" s="56"/>
      <c r="E516" s="55"/>
      <c r="F516" s="54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  <c r="AA516" s="55"/>
    </row>
    <row r="517">
      <c r="A517" s="54"/>
      <c r="B517" s="55"/>
      <c r="C517" s="55"/>
      <c r="D517" s="56"/>
      <c r="E517" s="55"/>
      <c r="F517" s="54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</row>
    <row r="518">
      <c r="A518" s="54"/>
      <c r="B518" s="55"/>
      <c r="C518" s="55"/>
      <c r="D518" s="56"/>
      <c r="E518" s="55"/>
      <c r="F518" s="54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  <c r="AA518" s="55"/>
    </row>
    <row r="519">
      <c r="A519" s="54"/>
      <c r="B519" s="55"/>
      <c r="C519" s="55"/>
      <c r="D519" s="56"/>
      <c r="E519" s="55"/>
      <c r="F519" s="54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  <c r="AA519" s="55"/>
    </row>
    <row r="520">
      <c r="A520" s="54"/>
      <c r="B520" s="55"/>
      <c r="C520" s="55"/>
      <c r="D520" s="56"/>
      <c r="E520" s="55"/>
      <c r="F520" s="54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  <c r="AA520" s="55"/>
    </row>
    <row r="521">
      <c r="A521" s="54"/>
      <c r="B521" s="55"/>
      <c r="C521" s="55"/>
      <c r="D521" s="56"/>
      <c r="E521" s="55"/>
      <c r="F521" s="54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</row>
    <row r="522">
      <c r="A522" s="54"/>
      <c r="B522" s="55"/>
      <c r="C522" s="55"/>
      <c r="D522" s="56"/>
      <c r="E522" s="55"/>
      <c r="F522" s="54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55"/>
    </row>
    <row r="523">
      <c r="A523" s="54"/>
      <c r="B523" s="55"/>
      <c r="C523" s="55"/>
      <c r="D523" s="56"/>
      <c r="E523" s="55"/>
      <c r="F523" s="54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55"/>
    </row>
    <row r="524">
      <c r="A524" s="54"/>
      <c r="B524" s="55"/>
      <c r="C524" s="55"/>
      <c r="D524" s="56"/>
      <c r="E524" s="55"/>
      <c r="F524" s="54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</row>
    <row r="525">
      <c r="A525" s="54"/>
      <c r="B525" s="55"/>
      <c r="C525" s="55"/>
      <c r="D525" s="56"/>
      <c r="E525" s="55"/>
      <c r="F525" s="54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  <c r="AA525" s="55"/>
    </row>
    <row r="526">
      <c r="A526" s="54"/>
      <c r="B526" s="55"/>
      <c r="C526" s="55"/>
      <c r="D526" s="56"/>
      <c r="E526" s="55"/>
      <c r="F526" s="54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</row>
    <row r="527">
      <c r="A527" s="54"/>
      <c r="B527" s="55"/>
      <c r="C527" s="55"/>
      <c r="D527" s="56"/>
      <c r="E527" s="55"/>
      <c r="F527" s="54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55"/>
    </row>
    <row r="528">
      <c r="A528" s="54"/>
      <c r="B528" s="55"/>
      <c r="C528" s="55"/>
      <c r="D528" s="56"/>
      <c r="E528" s="55"/>
      <c r="F528" s="54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  <c r="AA528" s="55"/>
    </row>
    <row r="529">
      <c r="A529" s="54"/>
      <c r="B529" s="55"/>
      <c r="C529" s="55"/>
      <c r="D529" s="56"/>
      <c r="E529" s="55"/>
      <c r="F529" s="54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55"/>
    </row>
    <row r="530">
      <c r="A530" s="54"/>
      <c r="B530" s="55"/>
      <c r="C530" s="55"/>
      <c r="D530" s="56"/>
      <c r="E530" s="55"/>
      <c r="F530" s="54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55"/>
    </row>
    <row r="531">
      <c r="A531" s="54"/>
      <c r="B531" s="55"/>
      <c r="C531" s="55"/>
      <c r="D531" s="56"/>
      <c r="E531" s="55"/>
      <c r="F531" s="54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  <c r="AA531" s="55"/>
    </row>
    <row r="532">
      <c r="A532" s="54"/>
      <c r="B532" s="55"/>
      <c r="C532" s="55"/>
      <c r="D532" s="56"/>
      <c r="E532" s="55"/>
      <c r="F532" s="54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</row>
    <row r="533">
      <c r="A533" s="54"/>
      <c r="B533" s="55"/>
      <c r="C533" s="55"/>
      <c r="D533" s="56"/>
      <c r="E533" s="55"/>
      <c r="F533" s="54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55"/>
    </row>
    <row r="534">
      <c r="A534" s="54"/>
      <c r="B534" s="55"/>
      <c r="C534" s="55"/>
      <c r="D534" s="56"/>
      <c r="E534" s="55"/>
      <c r="F534" s="54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  <c r="AA534" s="55"/>
    </row>
    <row r="535">
      <c r="A535" s="54"/>
      <c r="B535" s="55"/>
      <c r="C535" s="55"/>
      <c r="D535" s="56"/>
      <c r="E535" s="55"/>
      <c r="F535" s="54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  <c r="AA535" s="55"/>
    </row>
    <row r="536">
      <c r="A536" s="54"/>
      <c r="B536" s="55"/>
      <c r="C536" s="55"/>
      <c r="D536" s="56"/>
      <c r="E536" s="55"/>
      <c r="F536" s="54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  <c r="AA536" s="55"/>
    </row>
    <row r="537">
      <c r="A537" s="54"/>
      <c r="B537" s="55"/>
      <c r="C537" s="55"/>
      <c r="D537" s="56"/>
      <c r="E537" s="55"/>
      <c r="F537" s="54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  <c r="AA537" s="55"/>
    </row>
    <row r="538">
      <c r="A538" s="54"/>
      <c r="B538" s="55"/>
      <c r="C538" s="55"/>
      <c r="D538" s="56"/>
      <c r="E538" s="55"/>
      <c r="F538" s="54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  <c r="AA538" s="55"/>
    </row>
    <row r="539">
      <c r="A539" s="54"/>
      <c r="B539" s="55"/>
      <c r="C539" s="55"/>
      <c r="D539" s="56"/>
      <c r="E539" s="55"/>
      <c r="F539" s="54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55"/>
    </row>
    <row r="540">
      <c r="A540" s="54"/>
      <c r="B540" s="55"/>
      <c r="C540" s="55"/>
      <c r="D540" s="56"/>
      <c r="E540" s="55"/>
      <c r="F540" s="54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55"/>
    </row>
    <row r="541">
      <c r="A541" s="54"/>
      <c r="B541" s="55"/>
      <c r="C541" s="55"/>
      <c r="D541" s="56"/>
      <c r="E541" s="55"/>
      <c r="F541" s="54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  <c r="AA541" s="55"/>
    </row>
    <row r="542">
      <c r="A542" s="54"/>
      <c r="B542" s="55"/>
      <c r="C542" s="55"/>
      <c r="D542" s="56"/>
      <c r="E542" s="55"/>
      <c r="F542" s="54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  <c r="AA542" s="55"/>
    </row>
    <row r="543">
      <c r="A543" s="54"/>
      <c r="B543" s="55"/>
      <c r="C543" s="55"/>
      <c r="D543" s="56"/>
      <c r="E543" s="55"/>
      <c r="F543" s="54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  <c r="AA543" s="55"/>
    </row>
    <row r="544">
      <c r="A544" s="54"/>
      <c r="B544" s="55"/>
      <c r="C544" s="55"/>
      <c r="D544" s="56"/>
      <c r="E544" s="55"/>
      <c r="F544" s="54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  <c r="AA544" s="55"/>
    </row>
    <row r="545">
      <c r="A545" s="54"/>
      <c r="B545" s="55"/>
      <c r="C545" s="55"/>
      <c r="D545" s="56"/>
      <c r="E545" s="55"/>
      <c r="F545" s="54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  <c r="AA545" s="55"/>
    </row>
    <row r="546">
      <c r="A546" s="54"/>
      <c r="B546" s="55"/>
      <c r="C546" s="55"/>
      <c r="D546" s="56"/>
      <c r="E546" s="55"/>
      <c r="F546" s="54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  <c r="AA546" s="55"/>
    </row>
    <row r="547">
      <c r="A547" s="54"/>
      <c r="B547" s="55"/>
      <c r="C547" s="55"/>
      <c r="D547" s="56"/>
      <c r="E547" s="55"/>
      <c r="F547" s="54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  <c r="AA547" s="55"/>
    </row>
    <row r="548">
      <c r="A548" s="54"/>
      <c r="B548" s="55"/>
      <c r="C548" s="55"/>
      <c r="D548" s="56"/>
      <c r="E548" s="55"/>
      <c r="F548" s="54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55"/>
    </row>
    <row r="549">
      <c r="A549" s="54"/>
      <c r="B549" s="55"/>
      <c r="C549" s="55"/>
      <c r="D549" s="56"/>
      <c r="E549" s="55"/>
      <c r="F549" s="54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  <c r="AA549" s="55"/>
    </row>
    <row r="550">
      <c r="A550" s="54"/>
      <c r="B550" s="55"/>
      <c r="C550" s="55"/>
      <c r="D550" s="56"/>
      <c r="E550" s="55"/>
      <c r="F550" s="54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  <c r="AA550" s="55"/>
    </row>
    <row r="551">
      <c r="A551" s="57"/>
      <c r="B551" s="58"/>
      <c r="C551" s="58"/>
      <c r="D551" s="59"/>
      <c r="E551" s="58"/>
      <c r="F551" s="60"/>
      <c r="G551" s="55"/>
      <c r="H551" s="55"/>
      <c r="I551" s="55"/>
      <c r="J551" s="55"/>
      <c r="K551" s="55"/>
      <c r="L551" s="55"/>
      <c r="M551" s="58"/>
      <c r="N551" s="58"/>
      <c r="O551" s="58"/>
      <c r="P551" s="58"/>
      <c r="Q551" s="58"/>
      <c r="R551" s="61"/>
      <c r="S551" s="55"/>
      <c r="T551" s="55"/>
      <c r="U551" s="55"/>
      <c r="V551" s="55"/>
      <c r="W551" s="55"/>
      <c r="X551" s="55"/>
      <c r="Y551" s="55"/>
      <c r="Z551" s="55"/>
      <c r="AA551" s="55"/>
    </row>
    <row r="552">
      <c r="A552" s="62"/>
      <c r="B552" s="63"/>
      <c r="C552" s="63"/>
      <c r="D552" s="64"/>
      <c r="E552" s="55"/>
      <c r="F552" s="65"/>
      <c r="G552" s="55"/>
      <c r="H552" s="55"/>
      <c r="I552" s="55"/>
      <c r="J552" s="55"/>
      <c r="K552" s="55"/>
      <c r="L552" s="55"/>
      <c r="M552" s="66"/>
      <c r="N552" s="63"/>
      <c r="O552" s="63"/>
      <c r="P552" s="67"/>
      <c r="Q552" s="55"/>
      <c r="R552" s="63"/>
      <c r="S552" s="55"/>
      <c r="T552" s="55"/>
      <c r="U552" s="55"/>
      <c r="V552" s="55"/>
      <c r="W552" s="55"/>
      <c r="X552" s="55"/>
      <c r="Y552" s="55"/>
      <c r="Z552" s="55"/>
      <c r="AA552" s="55"/>
    </row>
    <row r="553">
      <c r="A553" s="68"/>
      <c r="B553" s="69"/>
      <c r="C553" s="69"/>
      <c r="D553" s="70"/>
      <c r="E553" s="71"/>
      <c r="F553" s="72"/>
      <c r="G553" s="55"/>
      <c r="H553" s="55"/>
      <c r="I553" s="55"/>
      <c r="J553" s="55"/>
      <c r="K553" s="55"/>
      <c r="L553" s="55"/>
      <c r="M553" s="73"/>
      <c r="N553" s="69"/>
      <c r="O553" s="69"/>
      <c r="P553" s="74"/>
      <c r="Q553" s="71"/>
      <c r="R553" s="69"/>
      <c r="S553" s="55"/>
      <c r="T553" s="55"/>
      <c r="U553" s="55"/>
      <c r="V553" s="55"/>
      <c r="W553" s="55"/>
      <c r="X553" s="55"/>
      <c r="Y553" s="55"/>
      <c r="Z553" s="55"/>
      <c r="AA553" s="55"/>
    </row>
    <row r="554">
      <c r="A554" s="62"/>
      <c r="B554" s="63"/>
      <c r="C554" s="63"/>
      <c r="D554" s="64"/>
      <c r="E554" s="55"/>
      <c r="F554" s="65"/>
      <c r="G554" s="55"/>
      <c r="H554" s="55"/>
      <c r="I554" s="55"/>
      <c r="J554" s="55"/>
      <c r="K554" s="55"/>
      <c r="L554" s="55"/>
      <c r="M554" s="66"/>
      <c r="N554" s="63"/>
      <c r="O554" s="63"/>
      <c r="P554" s="67"/>
      <c r="Q554" s="55"/>
      <c r="R554" s="63"/>
      <c r="S554" s="55"/>
      <c r="T554" s="55"/>
      <c r="U554" s="55"/>
      <c r="V554" s="55"/>
      <c r="W554" s="55"/>
      <c r="X554" s="55"/>
      <c r="Y554" s="55"/>
      <c r="Z554" s="55"/>
      <c r="AA554" s="55"/>
    </row>
    <row r="555">
      <c r="A555" s="62"/>
      <c r="B555" s="63"/>
      <c r="C555" s="63"/>
      <c r="D555" s="64"/>
      <c r="E555" s="55"/>
      <c r="F555" s="65"/>
      <c r="G555" s="55"/>
      <c r="H555" s="55"/>
      <c r="I555" s="55"/>
      <c r="J555" s="55"/>
      <c r="K555" s="55"/>
      <c r="L555" s="55"/>
      <c r="M555" s="66"/>
      <c r="N555" s="63"/>
      <c r="O555" s="63"/>
      <c r="P555" s="67"/>
      <c r="Q555" s="55"/>
      <c r="R555" s="63"/>
      <c r="S555" s="55"/>
      <c r="T555" s="55"/>
      <c r="U555" s="55"/>
      <c r="V555" s="55"/>
      <c r="W555" s="55"/>
      <c r="X555" s="55"/>
      <c r="Y555" s="55"/>
      <c r="Z555" s="55"/>
      <c r="AA555" s="55"/>
    </row>
    <row r="556">
      <c r="A556" s="62"/>
      <c r="B556" s="63"/>
      <c r="C556" s="63"/>
      <c r="D556" s="64"/>
      <c r="E556" s="55"/>
      <c r="F556" s="65"/>
      <c r="G556" s="55"/>
      <c r="H556" s="55"/>
      <c r="I556" s="55"/>
      <c r="J556" s="55"/>
      <c r="K556" s="55"/>
      <c r="L556" s="55"/>
      <c r="M556" s="66"/>
      <c r="N556" s="63"/>
      <c r="O556" s="63"/>
      <c r="P556" s="67"/>
      <c r="Q556" s="55"/>
      <c r="R556" s="63"/>
      <c r="S556" s="55"/>
      <c r="T556" s="55"/>
      <c r="U556" s="55"/>
      <c r="V556" s="55"/>
      <c r="W556" s="55"/>
      <c r="X556" s="55"/>
      <c r="Y556" s="55"/>
      <c r="Z556" s="55"/>
      <c r="AA556" s="55"/>
    </row>
    <row r="557">
      <c r="A557" s="62"/>
      <c r="B557" s="63"/>
      <c r="C557" s="63"/>
      <c r="D557" s="64"/>
      <c r="E557" s="55"/>
      <c r="F557" s="65"/>
      <c r="G557" s="55"/>
      <c r="H557" s="55"/>
      <c r="I557" s="55"/>
      <c r="J557" s="55"/>
      <c r="K557" s="55"/>
      <c r="L557" s="55"/>
      <c r="M557" s="66"/>
      <c r="N557" s="63"/>
      <c r="O557" s="63"/>
      <c r="P557" s="67"/>
      <c r="Q557" s="55"/>
      <c r="R557" s="63"/>
      <c r="S557" s="55"/>
      <c r="T557" s="55"/>
      <c r="U557" s="55"/>
      <c r="V557" s="55"/>
      <c r="W557" s="55"/>
      <c r="X557" s="55"/>
      <c r="Y557" s="55"/>
      <c r="Z557" s="55"/>
      <c r="AA557" s="55"/>
    </row>
    <row r="558">
      <c r="A558" s="62"/>
      <c r="B558" s="63"/>
      <c r="C558" s="63"/>
      <c r="D558" s="64"/>
      <c r="E558" s="55"/>
      <c r="F558" s="65"/>
      <c r="G558" s="55"/>
      <c r="H558" s="55"/>
      <c r="I558" s="55"/>
      <c r="J558" s="55"/>
      <c r="K558" s="55"/>
      <c r="L558" s="55"/>
      <c r="M558" s="66"/>
      <c r="N558" s="63"/>
      <c r="O558" s="63"/>
      <c r="P558" s="67"/>
      <c r="Q558" s="55"/>
      <c r="R558" s="63"/>
      <c r="S558" s="55"/>
      <c r="T558" s="55"/>
      <c r="U558" s="55"/>
      <c r="V558" s="55"/>
      <c r="W558" s="55"/>
      <c r="X558" s="55"/>
      <c r="Y558" s="55"/>
      <c r="Z558" s="55"/>
      <c r="AA558" s="55"/>
    </row>
    <row r="559">
      <c r="A559" s="62"/>
      <c r="B559" s="63"/>
      <c r="C559" s="63"/>
      <c r="D559" s="64"/>
      <c r="E559" s="55"/>
      <c r="F559" s="65"/>
      <c r="G559" s="55"/>
      <c r="H559" s="55"/>
      <c r="I559" s="55"/>
      <c r="J559" s="55"/>
      <c r="K559" s="55"/>
      <c r="L559" s="55"/>
      <c r="M559" s="66"/>
      <c r="N559" s="63"/>
      <c r="O559" s="63"/>
      <c r="P559" s="67"/>
      <c r="Q559" s="55"/>
      <c r="R559" s="63"/>
      <c r="S559" s="55"/>
      <c r="T559" s="55"/>
      <c r="U559" s="55"/>
      <c r="V559" s="55"/>
      <c r="W559" s="55"/>
      <c r="X559" s="55"/>
      <c r="Y559" s="55"/>
      <c r="Z559" s="55"/>
      <c r="AA559" s="55"/>
    </row>
    <row r="560">
      <c r="A560" s="62"/>
      <c r="B560" s="63"/>
      <c r="C560" s="63"/>
      <c r="D560" s="64"/>
      <c r="E560" s="55"/>
      <c r="F560" s="65"/>
      <c r="G560" s="55"/>
      <c r="H560" s="55"/>
      <c r="I560" s="55"/>
      <c r="J560" s="55"/>
      <c r="K560" s="55"/>
      <c r="L560" s="55"/>
      <c r="M560" s="66"/>
      <c r="N560" s="63"/>
      <c r="O560" s="63"/>
      <c r="P560" s="67"/>
      <c r="Q560" s="55"/>
      <c r="R560" s="63"/>
      <c r="S560" s="55"/>
      <c r="T560" s="55"/>
      <c r="U560" s="55"/>
      <c r="V560" s="55"/>
      <c r="W560" s="55"/>
      <c r="X560" s="55"/>
      <c r="Y560" s="55"/>
      <c r="Z560" s="55"/>
      <c r="AA560" s="55"/>
    </row>
    <row r="561">
      <c r="A561" s="54"/>
      <c r="B561" s="55"/>
      <c r="C561" s="55"/>
      <c r="D561" s="56"/>
      <c r="E561" s="55"/>
      <c r="F561" s="54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  <c r="AA561" s="55"/>
    </row>
    <row r="562">
      <c r="A562" s="54"/>
      <c r="B562" s="55"/>
      <c r="C562" s="55"/>
      <c r="D562" s="56"/>
      <c r="E562" s="55"/>
      <c r="F562" s="54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  <c r="AA562" s="55"/>
    </row>
    <row r="563">
      <c r="A563" s="54"/>
      <c r="B563" s="55"/>
      <c r="C563" s="55"/>
      <c r="D563" s="56"/>
      <c r="E563" s="55"/>
      <c r="F563" s="54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  <c r="AA563" s="55"/>
    </row>
    <row r="564">
      <c r="A564" s="54"/>
      <c r="B564" s="55"/>
      <c r="C564" s="55"/>
      <c r="D564" s="56"/>
      <c r="E564" s="55"/>
      <c r="F564" s="54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55"/>
    </row>
    <row r="565">
      <c r="A565" s="54"/>
      <c r="B565" s="55"/>
      <c r="C565" s="55"/>
      <c r="D565" s="56"/>
      <c r="E565" s="55"/>
      <c r="F565" s="54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  <c r="AA565" s="55"/>
    </row>
    <row r="566">
      <c r="A566" s="54"/>
      <c r="B566" s="55"/>
      <c r="C566" s="55"/>
      <c r="D566" s="56"/>
      <c r="E566" s="55"/>
      <c r="F566" s="54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  <c r="AA566" s="55"/>
    </row>
    <row r="567">
      <c r="A567" s="54"/>
      <c r="B567" s="55"/>
      <c r="C567" s="55"/>
      <c r="D567" s="56"/>
      <c r="E567" s="55"/>
      <c r="F567" s="54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  <c r="AA567" s="55"/>
    </row>
    <row r="568">
      <c r="A568" s="54"/>
      <c r="B568" s="55"/>
      <c r="C568" s="55"/>
      <c r="D568" s="56"/>
      <c r="E568" s="55"/>
      <c r="F568" s="54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  <c r="AA568" s="55"/>
    </row>
    <row r="569">
      <c r="A569" s="54"/>
      <c r="B569" s="55"/>
      <c r="C569" s="55"/>
      <c r="D569" s="56"/>
      <c r="E569" s="55"/>
      <c r="F569" s="54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</row>
    <row r="570">
      <c r="A570" s="54"/>
      <c r="B570" s="55"/>
      <c r="C570" s="55"/>
      <c r="D570" s="56"/>
      <c r="E570" s="55"/>
      <c r="F570" s="54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55"/>
    </row>
    <row r="571">
      <c r="A571" s="54"/>
      <c r="B571" s="55"/>
      <c r="C571" s="55"/>
      <c r="D571" s="56"/>
      <c r="E571" s="55"/>
      <c r="F571" s="54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</row>
    <row r="572">
      <c r="A572" s="54"/>
      <c r="B572" s="55"/>
      <c r="C572" s="55"/>
      <c r="D572" s="56"/>
      <c r="E572" s="55"/>
      <c r="F572" s="54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</row>
    <row r="573">
      <c r="A573" s="54"/>
      <c r="B573" s="55"/>
      <c r="C573" s="55"/>
      <c r="D573" s="56"/>
      <c r="E573" s="55"/>
      <c r="F573" s="54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</row>
    <row r="574">
      <c r="A574" s="54"/>
      <c r="B574" s="55"/>
      <c r="C574" s="55"/>
      <c r="D574" s="56"/>
      <c r="E574" s="55"/>
      <c r="F574" s="54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55"/>
    </row>
    <row r="575">
      <c r="A575" s="54"/>
      <c r="B575" s="55"/>
      <c r="C575" s="55"/>
      <c r="D575" s="56"/>
      <c r="E575" s="55"/>
      <c r="F575" s="54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  <c r="AA575" s="55"/>
    </row>
    <row r="576">
      <c r="A576" s="54"/>
      <c r="B576" s="55"/>
      <c r="C576" s="55"/>
      <c r="D576" s="56"/>
      <c r="E576" s="55"/>
      <c r="F576" s="54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  <c r="AA576" s="55"/>
    </row>
    <row r="577">
      <c r="A577" s="54"/>
      <c r="B577" s="55"/>
      <c r="C577" s="55"/>
      <c r="D577" s="56"/>
      <c r="E577" s="55"/>
      <c r="F577" s="54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  <c r="AA577" s="55"/>
    </row>
    <row r="578">
      <c r="A578" s="54"/>
      <c r="B578" s="55"/>
      <c r="C578" s="55"/>
      <c r="D578" s="56"/>
      <c r="E578" s="55"/>
      <c r="F578" s="54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  <c r="AA578" s="55"/>
    </row>
    <row r="579">
      <c r="A579" s="54"/>
      <c r="B579" s="55"/>
      <c r="C579" s="55"/>
      <c r="D579" s="56"/>
      <c r="E579" s="55"/>
      <c r="F579" s="54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  <c r="AA579" s="55"/>
    </row>
    <row r="580">
      <c r="A580" s="54"/>
      <c r="B580" s="55"/>
      <c r="C580" s="55"/>
      <c r="D580" s="56"/>
      <c r="E580" s="55"/>
      <c r="F580" s="54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55"/>
    </row>
    <row r="581">
      <c r="A581" s="54"/>
      <c r="B581" s="55"/>
      <c r="C581" s="55"/>
      <c r="D581" s="56"/>
      <c r="E581" s="55"/>
      <c r="F581" s="54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55"/>
    </row>
    <row r="582">
      <c r="A582" s="54"/>
      <c r="B582" s="55"/>
      <c r="C582" s="55"/>
      <c r="D582" s="56"/>
      <c r="E582" s="55"/>
      <c r="F582" s="54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55"/>
    </row>
    <row r="583">
      <c r="A583" s="54"/>
      <c r="B583" s="55"/>
      <c r="C583" s="55"/>
      <c r="D583" s="56"/>
      <c r="E583" s="55"/>
      <c r="F583" s="54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  <c r="AA583" s="55"/>
    </row>
    <row r="584">
      <c r="A584" s="54"/>
      <c r="B584" s="55"/>
      <c r="C584" s="55"/>
      <c r="D584" s="56"/>
      <c r="E584" s="55"/>
      <c r="F584" s="54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  <c r="AA584" s="55"/>
    </row>
    <row r="585">
      <c r="A585" s="54"/>
      <c r="B585" s="55"/>
      <c r="C585" s="55"/>
      <c r="D585" s="56"/>
      <c r="E585" s="55"/>
      <c r="F585" s="54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  <c r="AA585" s="55"/>
    </row>
    <row r="586">
      <c r="A586" s="54"/>
      <c r="B586" s="55"/>
      <c r="C586" s="55"/>
      <c r="D586" s="56"/>
      <c r="E586" s="55"/>
      <c r="F586" s="54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  <c r="AA586" s="55"/>
    </row>
    <row r="587">
      <c r="A587" s="54"/>
      <c r="B587" s="55"/>
      <c r="C587" s="55"/>
      <c r="D587" s="56"/>
      <c r="E587" s="55"/>
      <c r="F587" s="54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55"/>
    </row>
    <row r="588">
      <c r="A588" s="54"/>
      <c r="B588" s="55"/>
      <c r="C588" s="55"/>
      <c r="D588" s="56"/>
      <c r="E588" s="55"/>
      <c r="F588" s="54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55"/>
    </row>
    <row r="589">
      <c r="A589" s="54"/>
      <c r="B589" s="55"/>
      <c r="C589" s="55"/>
      <c r="D589" s="56"/>
      <c r="E589" s="55"/>
      <c r="F589" s="54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  <c r="AA589" s="55"/>
    </row>
    <row r="590">
      <c r="A590" s="54"/>
      <c r="B590" s="55"/>
      <c r="C590" s="55"/>
      <c r="D590" s="56"/>
      <c r="E590" s="55"/>
      <c r="F590" s="54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  <c r="AA590" s="55"/>
    </row>
    <row r="591">
      <c r="A591" s="54"/>
      <c r="B591" s="55"/>
      <c r="C591" s="55"/>
      <c r="D591" s="56"/>
      <c r="E591" s="55"/>
      <c r="F591" s="54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  <c r="AA591" s="55"/>
    </row>
    <row r="592">
      <c r="A592" s="54"/>
      <c r="B592" s="55"/>
      <c r="C592" s="55"/>
      <c r="D592" s="56"/>
      <c r="E592" s="55"/>
      <c r="F592" s="54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55"/>
    </row>
    <row r="593">
      <c r="A593" s="54"/>
      <c r="B593" s="55"/>
      <c r="C593" s="55"/>
      <c r="D593" s="56"/>
      <c r="E593" s="55"/>
      <c r="F593" s="54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  <c r="AA593" s="55"/>
    </row>
    <row r="594">
      <c r="A594" s="54"/>
      <c r="B594" s="55"/>
      <c r="C594" s="55"/>
      <c r="D594" s="56"/>
      <c r="E594" s="55"/>
      <c r="F594" s="54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</row>
    <row r="595">
      <c r="A595" s="54"/>
      <c r="B595" s="55"/>
      <c r="C595" s="55"/>
      <c r="D595" s="56"/>
      <c r="E595" s="55"/>
      <c r="F595" s="54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  <c r="AA595" s="55"/>
    </row>
    <row r="596">
      <c r="A596" s="54"/>
      <c r="B596" s="55"/>
      <c r="C596" s="55"/>
      <c r="D596" s="56"/>
      <c r="E596" s="55"/>
      <c r="F596" s="54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55"/>
    </row>
    <row r="597">
      <c r="A597" s="54"/>
      <c r="B597" s="55"/>
      <c r="C597" s="55"/>
      <c r="D597" s="56"/>
      <c r="E597" s="55"/>
      <c r="F597" s="54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55"/>
    </row>
    <row r="598">
      <c r="A598" s="54"/>
      <c r="B598" s="55"/>
      <c r="C598" s="55"/>
      <c r="D598" s="56"/>
      <c r="E598" s="55"/>
      <c r="F598" s="54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  <c r="AA598" s="55"/>
    </row>
    <row r="599">
      <c r="A599" s="54"/>
      <c r="B599" s="55"/>
      <c r="C599" s="55"/>
      <c r="D599" s="56"/>
      <c r="E599" s="55"/>
      <c r="F599" s="54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  <c r="AA599" s="55"/>
    </row>
    <row r="600">
      <c r="A600" s="54"/>
      <c r="B600" s="55"/>
      <c r="C600" s="55"/>
      <c r="D600" s="56"/>
      <c r="E600" s="55"/>
      <c r="F600" s="54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  <c r="AA600" s="55"/>
    </row>
    <row r="601">
      <c r="A601" s="54"/>
      <c r="B601" s="55"/>
      <c r="C601" s="55"/>
      <c r="D601" s="56"/>
      <c r="E601" s="55"/>
      <c r="F601" s="54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  <c r="AA601" s="55"/>
    </row>
    <row r="602">
      <c r="A602" s="54"/>
      <c r="B602" s="55"/>
      <c r="C602" s="55"/>
      <c r="D602" s="56"/>
      <c r="E602" s="55"/>
      <c r="F602" s="54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  <c r="AA602" s="55"/>
    </row>
    <row r="603">
      <c r="A603" s="54"/>
      <c r="B603" s="55"/>
      <c r="C603" s="55"/>
      <c r="D603" s="56"/>
      <c r="E603" s="55"/>
      <c r="F603" s="54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</row>
    <row r="604">
      <c r="A604" s="54"/>
      <c r="B604" s="55"/>
      <c r="C604" s="55"/>
      <c r="D604" s="56"/>
      <c r="E604" s="55"/>
      <c r="F604" s="54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55"/>
    </row>
    <row r="605">
      <c r="A605" s="54"/>
      <c r="B605" s="55"/>
      <c r="C605" s="55"/>
      <c r="D605" s="56"/>
      <c r="E605" s="55"/>
      <c r="F605" s="54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</row>
    <row r="606">
      <c r="A606" s="54"/>
      <c r="B606" s="55"/>
      <c r="C606" s="55"/>
      <c r="D606" s="56"/>
      <c r="E606" s="55"/>
      <c r="F606" s="54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</row>
    <row r="607">
      <c r="A607" s="54"/>
      <c r="B607" s="55"/>
      <c r="C607" s="55"/>
      <c r="D607" s="56"/>
      <c r="E607" s="55"/>
      <c r="F607" s="54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  <c r="AA607" s="55"/>
    </row>
    <row r="608">
      <c r="A608" s="54"/>
      <c r="B608" s="55"/>
      <c r="C608" s="55"/>
      <c r="D608" s="56"/>
      <c r="E608" s="55"/>
      <c r="F608" s="54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  <c r="AA608" s="55"/>
    </row>
    <row r="609">
      <c r="A609" s="54"/>
      <c r="B609" s="55"/>
      <c r="C609" s="55"/>
      <c r="D609" s="56"/>
      <c r="E609" s="55"/>
      <c r="F609" s="54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  <c r="AA609" s="55"/>
    </row>
    <row r="610">
      <c r="A610" s="54"/>
      <c r="B610" s="55"/>
      <c r="C610" s="55"/>
      <c r="D610" s="56"/>
      <c r="E610" s="55"/>
      <c r="F610" s="54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  <c r="AA610" s="55"/>
    </row>
    <row r="611">
      <c r="A611" s="54"/>
      <c r="B611" s="55"/>
      <c r="C611" s="55"/>
      <c r="D611" s="56"/>
      <c r="E611" s="55"/>
      <c r="F611" s="54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55"/>
    </row>
    <row r="612">
      <c r="A612" s="54"/>
      <c r="B612" s="55"/>
      <c r="C612" s="55"/>
      <c r="D612" s="56"/>
      <c r="E612" s="55"/>
      <c r="F612" s="54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</row>
    <row r="613">
      <c r="A613" s="54"/>
      <c r="B613" s="55"/>
      <c r="C613" s="55"/>
      <c r="D613" s="56"/>
      <c r="E613" s="55"/>
      <c r="F613" s="54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55"/>
    </row>
    <row r="614">
      <c r="A614" s="54"/>
      <c r="B614" s="55"/>
      <c r="C614" s="55"/>
      <c r="D614" s="56"/>
      <c r="E614" s="55"/>
      <c r="F614" s="54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  <c r="AA614" s="55"/>
    </row>
    <row r="615">
      <c r="A615" s="54"/>
      <c r="B615" s="55"/>
      <c r="C615" s="55"/>
      <c r="D615" s="56"/>
      <c r="E615" s="55"/>
      <c r="F615" s="54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  <c r="AA615" s="55"/>
    </row>
    <row r="616">
      <c r="A616" s="54"/>
      <c r="B616" s="55"/>
      <c r="C616" s="55"/>
      <c r="D616" s="56"/>
      <c r="E616" s="55"/>
      <c r="F616" s="54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  <c r="AA616" s="55"/>
    </row>
    <row r="617">
      <c r="A617" s="54"/>
      <c r="B617" s="55"/>
      <c r="C617" s="55"/>
      <c r="D617" s="56"/>
      <c r="E617" s="55"/>
      <c r="F617" s="54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55"/>
    </row>
    <row r="618">
      <c r="A618" s="54"/>
      <c r="B618" s="55"/>
      <c r="C618" s="55"/>
      <c r="D618" s="56"/>
      <c r="E618" s="55"/>
      <c r="F618" s="54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  <c r="AA618" s="55"/>
    </row>
    <row r="619">
      <c r="A619" s="54"/>
      <c r="B619" s="55"/>
      <c r="C619" s="55"/>
      <c r="D619" s="56"/>
      <c r="E619" s="55"/>
      <c r="F619" s="54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55"/>
    </row>
    <row r="620">
      <c r="A620" s="54"/>
      <c r="B620" s="55"/>
      <c r="C620" s="55"/>
      <c r="D620" s="56"/>
      <c r="E620" s="55"/>
      <c r="F620" s="54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55"/>
    </row>
    <row r="621">
      <c r="A621" s="54"/>
      <c r="B621" s="55"/>
      <c r="C621" s="55"/>
      <c r="D621" s="56"/>
      <c r="E621" s="55"/>
      <c r="F621" s="54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55"/>
    </row>
    <row r="622">
      <c r="A622" s="54"/>
      <c r="B622" s="55"/>
      <c r="C622" s="55"/>
      <c r="D622" s="56"/>
      <c r="E622" s="55"/>
      <c r="F622" s="54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  <c r="AA622" s="55"/>
    </row>
    <row r="623">
      <c r="A623" s="54"/>
      <c r="B623" s="55"/>
      <c r="C623" s="55"/>
      <c r="D623" s="56"/>
      <c r="E623" s="55"/>
      <c r="F623" s="54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55"/>
    </row>
    <row r="624">
      <c r="A624" s="54"/>
      <c r="B624" s="55"/>
      <c r="C624" s="55"/>
      <c r="D624" s="56"/>
      <c r="E624" s="55"/>
      <c r="F624" s="54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  <c r="AA624" s="55"/>
    </row>
    <row r="625">
      <c r="A625" s="54"/>
      <c r="B625" s="55"/>
      <c r="C625" s="55"/>
      <c r="D625" s="56"/>
      <c r="E625" s="55"/>
      <c r="F625" s="54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55"/>
    </row>
    <row r="626">
      <c r="A626" s="54"/>
      <c r="B626" s="55"/>
      <c r="C626" s="55"/>
      <c r="D626" s="56"/>
      <c r="E626" s="55"/>
      <c r="F626" s="54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55"/>
    </row>
    <row r="627">
      <c r="A627" s="54"/>
      <c r="B627" s="55"/>
      <c r="C627" s="55"/>
      <c r="D627" s="56"/>
      <c r="E627" s="55"/>
      <c r="F627" s="54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  <c r="AA627" s="55"/>
    </row>
    <row r="628">
      <c r="A628" s="54"/>
      <c r="B628" s="55"/>
      <c r="C628" s="55"/>
      <c r="D628" s="56"/>
      <c r="E628" s="55"/>
      <c r="F628" s="54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</row>
    <row r="629">
      <c r="A629" s="54"/>
      <c r="B629" s="55"/>
      <c r="C629" s="55"/>
      <c r="D629" s="56"/>
      <c r="E629" s="55"/>
      <c r="F629" s="54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  <c r="AA629" s="55"/>
    </row>
    <row r="630">
      <c r="A630" s="54"/>
      <c r="B630" s="55"/>
      <c r="C630" s="55"/>
      <c r="D630" s="56"/>
      <c r="E630" s="55"/>
      <c r="F630" s="54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55"/>
    </row>
    <row r="631">
      <c r="A631" s="54"/>
      <c r="B631" s="55"/>
      <c r="C631" s="55"/>
      <c r="D631" s="56"/>
      <c r="E631" s="55"/>
      <c r="F631" s="54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55"/>
    </row>
    <row r="632">
      <c r="A632" s="54"/>
      <c r="B632" s="55"/>
      <c r="C632" s="55"/>
      <c r="D632" s="56"/>
      <c r="E632" s="55"/>
      <c r="F632" s="54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55"/>
    </row>
    <row r="633">
      <c r="A633" s="54"/>
      <c r="B633" s="55"/>
      <c r="C633" s="55"/>
      <c r="D633" s="56"/>
      <c r="E633" s="55"/>
      <c r="F633" s="54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55"/>
    </row>
    <row r="634">
      <c r="A634" s="54"/>
      <c r="B634" s="55"/>
      <c r="C634" s="55"/>
      <c r="D634" s="56"/>
      <c r="E634" s="55"/>
      <c r="F634" s="54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</row>
    <row r="635">
      <c r="A635" s="54"/>
      <c r="B635" s="55"/>
      <c r="C635" s="55"/>
      <c r="D635" s="56"/>
      <c r="E635" s="55"/>
      <c r="F635" s="54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</row>
    <row r="636">
      <c r="A636" s="54"/>
      <c r="B636" s="55"/>
      <c r="C636" s="55"/>
      <c r="D636" s="56"/>
      <c r="E636" s="55"/>
      <c r="F636" s="54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55"/>
    </row>
    <row r="637">
      <c r="A637" s="54"/>
      <c r="B637" s="55"/>
      <c r="C637" s="55"/>
      <c r="D637" s="56"/>
      <c r="E637" s="55"/>
      <c r="F637" s="54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55"/>
    </row>
    <row r="638">
      <c r="A638" s="54"/>
      <c r="B638" s="55"/>
      <c r="C638" s="55"/>
      <c r="D638" s="56"/>
      <c r="E638" s="55"/>
      <c r="F638" s="54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55"/>
    </row>
    <row r="639">
      <c r="A639" s="54"/>
      <c r="B639" s="55"/>
      <c r="C639" s="55"/>
      <c r="D639" s="56"/>
      <c r="E639" s="55"/>
      <c r="F639" s="54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  <c r="AA639" s="55"/>
    </row>
    <row r="640">
      <c r="A640" s="54"/>
      <c r="B640" s="55"/>
      <c r="C640" s="55"/>
      <c r="D640" s="56"/>
      <c r="E640" s="55"/>
      <c r="F640" s="54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  <c r="AA640" s="55"/>
    </row>
    <row r="641">
      <c r="A641" s="54"/>
      <c r="B641" s="55"/>
      <c r="C641" s="55"/>
      <c r="D641" s="56"/>
      <c r="E641" s="55"/>
      <c r="F641" s="54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</row>
    <row r="642">
      <c r="A642" s="54"/>
      <c r="B642" s="55"/>
      <c r="C642" s="55"/>
      <c r="D642" s="56"/>
      <c r="E642" s="55"/>
      <c r="F642" s="54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  <c r="AA642" s="55"/>
    </row>
    <row r="643">
      <c r="A643" s="54"/>
      <c r="B643" s="55"/>
      <c r="C643" s="55"/>
      <c r="D643" s="56"/>
      <c r="E643" s="55"/>
      <c r="F643" s="54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  <c r="AA643" s="55"/>
    </row>
    <row r="644">
      <c r="A644" s="54"/>
      <c r="B644" s="55"/>
      <c r="C644" s="55"/>
      <c r="D644" s="56"/>
      <c r="E644" s="55"/>
      <c r="F644" s="54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55"/>
    </row>
    <row r="645">
      <c r="A645" s="54"/>
      <c r="B645" s="55"/>
      <c r="C645" s="55"/>
      <c r="D645" s="56"/>
      <c r="E645" s="55"/>
      <c r="F645" s="54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  <c r="AA645" s="55"/>
    </row>
    <row r="646">
      <c r="A646" s="54"/>
      <c r="B646" s="55"/>
      <c r="C646" s="55"/>
      <c r="D646" s="56"/>
      <c r="E646" s="55"/>
      <c r="F646" s="54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  <c r="AA646" s="55"/>
    </row>
    <row r="647">
      <c r="A647" s="54"/>
      <c r="B647" s="55"/>
      <c r="C647" s="55"/>
      <c r="D647" s="56"/>
      <c r="E647" s="55"/>
      <c r="F647" s="54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55"/>
    </row>
    <row r="648">
      <c r="A648" s="54"/>
      <c r="B648" s="55"/>
      <c r="C648" s="55"/>
      <c r="D648" s="56"/>
      <c r="E648" s="55"/>
      <c r="F648" s="54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  <c r="AA648" s="55"/>
    </row>
    <row r="649">
      <c r="A649" s="54"/>
      <c r="B649" s="55"/>
      <c r="C649" s="55"/>
      <c r="D649" s="56"/>
      <c r="E649" s="55"/>
      <c r="F649" s="54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55"/>
    </row>
    <row r="650">
      <c r="A650" s="54"/>
      <c r="B650" s="55"/>
      <c r="C650" s="55"/>
      <c r="D650" s="56"/>
      <c r="E650" s="55"/>
      <c r="F650" s="54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  <c r="AA650" s="55"/>
    </row>
    <row r="651">
      <c r="A651" s="54"/>
      <c r="B651" s="55"/>
      <c r="C651" s="55"/>
      <c r="D651" s="56"/>
      <c r="E651" s="55"/>
      <c r="F651" s="54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  <c r="AA651" s="55"/>
    </row>
    <row r="652">
      <c r="A652" s="54"/>
      <c r="B652" s="55"/>
      <c r="C652" s="55"/>
      <c r="D652" s="56"/>
      <c r="E652" s="55"/>
      <c r="F652" s="54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  <c r="AA652" s="55"/>
    </row>
    <row r="653">
      <c r="A653" s="54"/>
      <c r="B653" s="55"/>
      <c r="C653" s="55"/>
      <c r="D653" s="56"/>
      <c r="E653" s="55"/>
      <c r="F653" s="54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  <c r="AA653" s="55"/>
    </row>
    <row r="654">
      <c r="A654" s="54"/>
      <c r="B654" s="55"/>
      <c r="C654" s="55"/>
      <c r="D654" s="56"/>
      <c r="E654" s="55"/>
      <c r="F654" s="54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  <c r="AA654" s="55"/>
    </row>
    <row r="655">
      <c r="A655" s="54"/>
      <c r="B655" s="55"/>
      <c r="C655" s="55"/>
      <c r="D655" s="56"/>
      <c r="E655" s="55"/>
      <c r="F655" s="54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  <c r="AA655" s="55"/>
    </row>
    <row r="656">
      <c r="A656" s="54"/>
      <c r="B656" s="55"/>
      <c r="C656" s="55"/>
      <c r="D656" s="56"/>
      <c r="E656" s="55"/>
      <c r="F656" s="54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  <c r="AA656" s="55"/>
    </row>
    <row r="657">
      <c r="A657" s="54"/>
      <c r="B657" s="55"/>
      <c r="C657" s="55"/>
      <c r="D657" s="56"/>
      <c r="E657" s="55"/>
      <c r="F657" s="54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  <c r="AA657" s="55"/>
    </row>
    <row r="658">
      <c r="A658" s="54"/>
      <c r="B658" s="55"/>
      <c r="C658" s="55"/>
      <c r="D658" s="56"/>
      <c r="E658" s="55"/>
      <c r="F658" s="54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  <c r="AA658" s="55"/>
    </row>
    <row r="659">
      <c r="A659" s="54"/>
      <c r="B659" s="55"/>
      <c r="C659" s="55"/>
      <c r="D659" s="56"/>
      <c r="E659" s="55"/>
      <c r="F659" s="54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  <c r="AA659" s="55"/>
    </row>
    <row r="660">
      <c r="A660" s="54"/>
      <c r="B660" s="55"/>
      <c r="C660" s="55"/>
      <c r="D660" s="56"/>
      <c r="E660" s="55"/>
      <c r="F660" s="54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55"/>
    </row>
    <row r="661">
      <c r="A661" s="57"/>
      <c r="B661" s="58"/>
      <c r="C661" s="58"/>
      <c r="D661" s="59"/>
      <c r="E661" s="58"/>
      <c r="F661" s="60"/>
      <c r="G661" s="55"/>
      <c r="H661" s="55"/>
      <c r="I661" s="55"/>
      <c r="J661" s="55"/>
      <c r="K661" s="55"/>
      <c r="L661" s="55"/>
      <c r="M661" s="58"/>
      <c r="N661" s="58"/>
      <c r="O661" s="58"/>
      <c r="P661" s="58"/>
      <c r="Q661" s="58"/>
      <c r="R661" s="61"/>
      <c r="S661" s="55"/>
      <c r="T661" s="55"/>
      <c r="U661" s="55"/>
      <c r="V661" s="55"/>
      <c r="W661" s="55"/>
      <c r="X661" s="55"/>
      <c r="Y661" s="55"/>
      <c r="Z661" s="55"/>
      <c r="AA661" s="55"/>
    </row>
    <row r="662">
      <c r="A662" s="62"/>
      <c r="B662" s="63"/>
      <c r="C662" s="63"/>
      <c r="D662" s="64"/>
      <c r="E662" s="55"/>
      <c r="F662" s="65"/>
      <c r="G662" s="55"/>
      <c r="H662" s="55"/>
      <c r="I662" s="55"/>
      <c r="J662" s="55"/>
      <c r="K662" s="55"/>
      <c r="L662" s="55"/>
      <c r="M662" s="66"/>
      <c r="N662" s="63"/>
      <c r="O662" s="63"/>
      <c r="P662" s="67"/>
      <c r="Q662" s="55"/>
      <c r="R662" s="63"/>
      <c r="S662" s="55"/>
      <c r="T662" s="55"/>
      <c r="U662" s="55"/>
      <c r="V662" s="55"/>
      <c r="W662" s="55"/>
      <c r="X662" s="55"/>
      <c r="Y662" s="55"/>
      <c r="Z662" s="55"/>
      <c r="AA662" s="55"/>
    </row>
    <row r="663">
      <c r="A663" s="68"/>
      <c r="B663" s="69"/>
      <c r="C663" s="69"/>
      <c r="D663" s="70"/>
      <c r="E663" s="71"/>
      <c r="F663" s="72"/>
      <c r="G663" s="55"/>
      <c r="H663" s="55"/>
      <c r="I663" s="55"/>
      <c r="J663" s="55"/>
      <c r="K663" s="55"/>
      <c r="L663" s="55"/>
      <c r="M663" s="73"/>
      <c r="N663" s="69"/>
      <c r="O663" s="69"/>
      <c r="P663" s="74"/>
      <c r="Q663" s="71"/>
      <c r="R663" s="69"/>
      <c r="S663" s="55"/>
      <c r="T663" s="55"/>
      <c r="U663" s="55"/>
      <c r="V663" s="55"/>
      <c r="W663" s="55"/>
      <c r="X663" s="55"/>
      <c r="Y663" s="55"/>
      <c r="Z663" s="55"/>
      <c r="AA663" s="55"/>
    </row>
    <row r="664">
      <c r="A664" s="62"/>
      <c r="B664" s="63"/>
      <c r="C664" s="63"/>
      <c r="D664" s="64"/>
      <c r="E664" s="55"/>
      <c r="F664" s="65"/>
      <c r="G664" s="55"/>
      <c r="H664" s="55"/>
      <c r="I664" s="55"/>
      <c r="J664" s="55"/>
      <c r="K664" s="55"/>
      <c r="L664" s="55"/>
      <c r="M664" s="66"/>
      <c r="N664" s="63"/>
      <c r="O664" s="63"/>
      <c r="P664" s="67"/>
      <c r="Q664" s="55"/>
      <c r="R664" s="63"/>
      <c r="S664" s="55"/>
      <c r="T664" s="55"/>
      <c r="U664" s="55"/>
      <c r="V664" s="55"/>
      <c r="W664" s="55"/>
      <c r="X664" s="55"/>
      <c r="Y664" s="55"/>
      <c r="Z664" s="55"/>
      <c r="AA664" s="55"/>
    </row>
    <row r="665">
      <c r="A665" s="62"/>
      <c r="B665" s="63"/>
      <c r="C665" s="63"/>
      <c r="D665" s="64"/>
      <c r="E665" s="55"/>
      <c r="F665" s="65"/>
      <c r="G665" s="55"/>
      <c r="H665" s="55"/>
      <c r="I665" s="55"/>
      <c r="J665" s="55"/>
      <c r="K665" s="55"/>
      <c r="L665" s="55"/>
      <c r="M665" s="66"/>
      <c r="N665" s="63"/>
      <c r="O665" s="63"/>
      <c r="P665" s="67"/>
      <c r="Q665" s="55"/>
      <c r="R665" s="63"/>
      <c r="S665" s="55"/>
      <c r="T665" s="55"/>
      <c r="U665" s="55"/>
      <c r="V665" s="55"/>
      <c r="W665" s="55"/>
      <c r="X665" s="55"/>
      <c r="Y665" s="55"/>
      <c r="Z665" s="55"/>
      <c r="AA665" s="55"/>
    </row>
    <row r="666">
      <c r="A666" s="62"/>
      <c r="B666" s="63"/>
      <c r="C666" s="63"/>
      <c r="D666" s="64"/>
      <c r="E666" s="55"/>
      <c r="F666" s="65"/>
      <c r="G666" s="55"/>
      <c r="H666" s="55"/>
      <c r="I666" s="55"/>
      <c r="J666" s="55"/>
      <c r="K666" s="55"/>
      <c r="L666" s="55"/>
      <c r="M666" s="66"/>
      <c r="N666" s="63"/>
      <c r="O666" s="63"/>
      <c r="P666" s="67"/>
      <c r="Q666" s="55"/>
      <c r="R666" s="63"/>
      <c r="S666" s="55"/>
      <c r="T666" s="55"/>
      <c r="U666" s="55"/>
      <c r="V666" s="55"/>
      <c r="W666" s="55"/>
      <c r="X666" s="55"/>
      <c r="Y666" s="55"/>
      <c r="Z666" s="55"/>
      <c r="AA666" s="55"/>
    </row>
    <row r="667">
      <c r="A667" s="62"/>
      <c r="B667" s="63"/>
      <c r="C667" s="63"/>
      <c r="D667" s="64"/>
      <c r="E667" s="55"/>
      <c r="F667" s="65"/>
      <c r="G667" s="55"/>
      <c r="H667" s="55"/>
      <c r="I667" s="55"/>
      <c r="J667" s="55"/>
      <c r="K667" s="55"/>
      <c r="L667" s="55"/>
      <c r="M667" s="66"/>
      <c r="N667" s="63"/>
      <c r="O667" s="63"/>
      <c r="P667" s="67"/>
      <c r="Q667" s="55"/>
      <c r="R667" s="63"/>
      <c r="S667" s="55"/>
      <c r="T667" s="55"/>
      <c r="U667" s="55"/>
      <c r="V667" s="55"/>
      <c r="W667" s="55"/>
      <c r="X667" s="55"/>
      <c r="Y667" s="55"/>
      <c r="Z667" s="55"/>
      <c r="AA667" s="55"/>
    </row>
    <row r="668">
      <c r="A668" s="62"/>
      <c r="B668" s="63"/>
      <c r="C668" s="63"/>
      <c r="D668" s="64"/>
      <c r="E668" s="55"/>
      <c r="F668" s="65"/>
      <c r="G668" s="55"/>
      <c r="H668" s="55"/>
      <c r="I668" s="55"/>
      <c r="J668" s="55"/>
      <c r="K668" s="55"/>
      <c r="L668" s="55"/>
      <c r="M668" s="66"/>
      <c r="N668" s="63"/>
      <c r="O668" s="63"/>
      <c r="P668" s="67"/>
      <c r="Q668" s="55"/>
      <c r="R668" s="63"/>
      <c r="S668" s="55"/>
      <c r="T668" s="55"/>
      <c r="U668" s="55"/>
      <c r="V668" s="55"/>
      <c r="W668" s="55"/>
      <c r="X668" s="55"/>
      <c r="Y668" s="55"/>
      <c r="Z668" s="55"/>
      <c r="AA668" s="55"/>
    </row>
    <row r="669">
      <c r="A669" s="62"/>
      <c r="B669" s="63"/>
      <c r="C669" s="63"/>
      <c r="D669" s="64"/>
      <c r="E669" s="55"/>
      <c r="F669" s="65"/>
      <c r="G669" s="55"/>
      <c r="H669" s="55"/>
      <c r="I669" s="55"/>
      <c r="J669" s="55"/>
      <c r="K669" s="55"/>
      <c r="L669" s="55"/>
      <c r="M669" s="66"/>
      <c r="N669" s="63"/>
      <c r="O669" s="63"/>
      <c r="P669" s="67"/>
      <c r="Q669" s="55"/>
      <c r="R669" s="63"/>
      <c r="S669" s="55"/>
      <c r="T669" s="55"/>
      <c r="U669" s="55"/>
      <c r="V669" s="55"/>
      <c r="W669" s="55"/>
      <c r="X669" s="55"/>
      <c r="Y669" s="55"/>
      <c r="Z669" s="55"/>
      <c r="AA669" s="55"/>
    </row>
    <row r="670">
      <c r="A670" s="62"/>
      <c r="B670" s="63"/>
      <c r="C670" s="63"/>
      <c r="D670" s="64"/>
      <c r="E670" s="55"/>
      <c r="F670" s="65"/>
      <c r="G670" s="55"/>
      <c r="H670" s="55"/>
      <c r="I670" s="55"/>
      <c r="J670" s="55"/>
      <c r="K670" s="55"/>
      <c r="L670" s="55"/>
      <c r="M670" s="66"/>
      <c r="N670" s="63"/>
      <c r="O670" s="63"/>
      <c r="P670" s="67"/>
      <c r="Q670" s="55"/>
      <c r="R670" s="63"/>
      <c r="S670" s="55"/>
      <c r="T670" s="55"/>
      <c r="U670" s="55"/>
      <c r="V670" s="55"/>
      <c r="W670" s="55"/>
      <c r="X670" s="55"/>
      <c r="Y670" s="55"/>
      <c r="Z670" s="55"/>
      <c r="AA670" s="55"/>
    </row>
    <row r="671">
      <c r="A671" s="54"/>
      <c r="B671" s="55"/>
      <c r="C671" s="55"/>
      <c r="D671" s="56"/>
      <c r="E671" s="55"/>
      <c r="F671" s="54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  <c r="AA671" s="55"/>
    </row>
    <row r="672">
      <c r="A672" s="54"/>
      <c r="B672" s="55"/>
      <c r="C672" s="55"/>
      <c r="D672" s="56"/>
      <c r="E672" s="55"/>
      <c r="F672" s="54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55"/>
    </row>
    <row r="673">
      <c r="A673" s="54"/>
      <c r="B673" s="55"/>
      <c r="C673" s="55"/>
      <c r="D673" s="56"/>
      <c r="E673" s="55"/>
      <c r="F673" s="54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  <c r="AA673" s="55"/>
    </row>
    <row r="674">
      <c r="A674" s="54"/>
      <c r="B674" s="55"/>
      <c r="C674" s="55"/>
      <c r="D674" s="56"/>
      <c r="E674" s="55"/>
      <c r="F674" s="54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  <c r="AA674" s="55"/>
    </row>
    <row r="675">
      <c r="A675" s="54"/>
      <c r="B675" s="55"/>
      <c r="C675" s="55"/>
      <c r="D675" s="56"/>
      <c r="E675" s="55"/>
      <c r="F675" s="54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  <c r="AA675" s="55"/>
    </row>
    <row r="676">
      <c r="A676" s="54"/>
      <c r="B676" s="55"/>
      <c r="C676" s="55"/>
      <c r="D676" s="56"/>
      <c r="E676" s="55"/>
      <c r="F676" s="54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55"/>
    </row>
    <row r="677">
      <c r="A677" s="54"/>
      <c r="B677" s="55"/>
      <c r="C677" s="55"/>
      <c r="D677" s="56"/>
      <c r="E677" s="55"/>
      <c r="F677" s="54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  <c r="AA677" s="55"/>
    </row>
    <row r="678">
      <c r="A678" s="54"/>
      <c r="B678" s="55"/>
      <c r="C678" s="55"/>
      <c r="D678" s="56"/>
      <c r="E678" s="55"/>
      <c r="F678" s="54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55"/>
    </row>
    <row r="679">
      <c r="A679" s="54"/>
      <c r="B679" s="55"/>
      <c r="C679" s="55"/>
      <c r="D679" s="56"/>
      <c r="E679" s="55"/>
      <c r="F679" s="54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  <c r="AA679" s="55"/>
    </row>
    <row r="680">
      <c r="A680" s="54"/>
      <c r="B680" s="55"/>
      <c r="C680" s="55"/>
      <c r="D680" s="56"/>
      <c r="E680" s="55"/>
      <c r="F680" s="54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  <c r="AA680" s="55"/>
    </row>
    <row r="681">
      <c r="A681" s="54"/>
      <c r="B681" s="55"/>
      <c r="C681" s="55"/>
      <c r="D681" s="56"/>
      <c r="E681" s="55"/>
      <c r="F681" s="54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  <c r="AA681" s="55"/>
    </row>
    <row r="682">
      <c r="A682" s="54"/>
      <c r="B682" s="55"/>
      <c r="C682" s="55"/>
      <c r="D682" s="56"/>
      <c r="E682" s="55"/>
      <c r="F682" s="54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55"/>
    </row>
    <row r="683">
      <c r="A683" s="54"/>
      <c r="B683" s="55"/>
      <c r="C683" s="55"/>
      <c r="D683" s="56"/>
      <c r="E683" s="55"/>
      <c r="F683" s="54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  <c r="AA683" s="55"/>
    </row>
    <row r="684">
      <c r="A684" s="54"/>
      <c r="B684" s="55"/>
      <c r="C684" s="55"/>
      <c r="D684" s="56"/>
      <c r="E684" s="55"/>
      <c r="F684" s="54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55"/>
    </row>
    <row r="685">
      <c r="A685" s="54"/>
      <c r="B685" s="55"/>
      <c r="C685" s="55"/>
      <c r="D685" s="56"/>
      <c r="E685" s="55"/>
      <c r="F685" s="54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55"/>
    </row>
    <row r="686">
      <c r="A686" s="54"/>
      <c r="B686" s="55"/>
      <c r="C686" s="55"/>
      <c r="D686" s="56"/>
      <c r="E686" s="55"/>
      <c r="F686" s="54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55"/>
    </row>
    <row r="687">
      <c r="A687" s="54"/>
      <c r="B687" s="55"/>
      <c r="C687" s="55"/>
      <c r="D687" s="56"/>
      <c r="E687" s="55"/>
      <c r="F687" s="54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55"/>
    </row>
    <row r="688">
      <c r="A688" s="54"/>
      <c r="B688" s="55"/>
      <c r="C688" s="55"/>
      <c r="D688" s="56"/>
      <c r="E688" s="55"/>
      <c r="F688" s="54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55"/>
    </row>
    <row r="689">
      <c r="A689" s="54"/>
      <c r="B689" s="55"/>
      <c r="C689" s="55"/>
      <c r="D689" s="56"/>
      <c r="E689" s="55"/>
      <c r="F689" s="54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  <c r="AA689" s="55"/>
    </row>
    <row r="690">
      <c r="A690" s="54"/>
      <c r="B690" s="55"/>
      <c r="C690" s="55"/>
      <c r="D690" s="56"/>
      <c r="E690" s="55"/>
      <c r="F690" s="54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</row>
    <row r="691">
      <c r="A691" s="54"/>
      <c r="B691" s="55"/>
      <c r="C691" s="55"/>
      <c r="D691" s="56"/>
      <c r="E691" s="55"/>
      <c r="F691" s="54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  <c r="AA691" s="55"/>
    </row>
    <row r="692">
      <c r="A692" s="54"/>
      <c r="B692" s="55"/>
      <c r="C692" s="55"/>
      <c r="D692" s="56"/>
      <c r="E692" s="55"/>
      <c r="F692" s="54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  <c r="AA692" s="55"/>
    </row>
    <row r="693">
      <c r="A693" s="54"/>
      <c r="B693" s="55"/>
      <c r="C693" s="55"/>
      <c r="D693" s="56"/>
      <c r="E693" s="55"/>
      <c r="F693" s="54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  <c r="AA693" s="55"/>
    </row>
    <row r="694">
      <c r="A694" s="54"/>
      <c r="B694" s="55"/>
      <c r="C694" s="55"/>
      <c r="D694" s="56"/>
      <c r="E694" s="55"/>
      <c r="F694" s="54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  <c r="AA694" s="55"/>
    </row>
    <row r="695">
      <c r="A695" s="54"/>
      <c r="B695" s="55"/>
      <c r="C695" s="55"/>
      <c r="D695" s="56"/>
      <c r="E695" s="55"/>
      <c r="F695" s="54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  <c r="AA695" s="55"/>
    </row>
    <row r="696">
      <c r="A696" s="54"/>
      <c r="B696" s="55"/>
      <c r="C696" s="55"/>
      <c r="D696" s="56"/>
      <c r="E696" s="55"/>
      <c r="F696" s="54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  <c r="AA696" s="55"/>
    </row>
    <row r="697">
      <c r="A697" s="54"/>
      <c r="B697" s="55"/>
      <c r="C697" s="55"/>
      <c r="D697" s="56"/>
      <c r="E697" s="55"/>
      <c r="F697" s="54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  <c r="AA697" s="55"/>
    </row>
    <row r="698">
      <c r="A698" s="54"/>
      <c r="B698" s="55"/>
      <c r="C698" s="55"/>
      <c r="D698" s="56"/>
      <c r="E698" s="55"/>
      <c r="F698" s="54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  <c r="AA698" s="55"/>
    </row>
    <row r="699">
      <c r="A699" s="54"/>
      <c r="B699" s="55"/>
      <c r="C699" s="55"/>
      <c r="D699" s="56"/>
      <c r="E699" s="55"/>
      <c r="F699" s="54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  <c r="AA699" s="55"/>
    </row>
    <row r="700">
      <c r="A700" s="54"/>
      <c r="B700" s="55"/>
      <c r="C700" s="55"/>
      <c r="D700" s="56"/>
      <c r="E700" s="55"/>
      <c r="F700" s="54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  <c r="AA700" s="55"/>
    </row>
    <row r="701">
      <c r="A701" s="54"/>
      <c r="B701" s="55"/>
      <c r="C701" s="55"/>
      <c r="D701" s="56"/>
      <c r="E701" s="55"/>
      <c r="F701" s="54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  <c r="AA701" s="55"/>
    </row>
    <row r="702">
      <c r="A702" s="54"/>
      <c r="B702" s="55"/>
      <c r="C702" s="55"/>
      <c r="D702" s="56"/>
      <c r="E702" s="55"/>
      <c r="F702" s="54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  <c r="AA702" s="55"/>
    </row>
    <row r="703">
      <c r="A703" s="54"/>
      <c r="B703" s="55"/>
      <c r="C703" s="55"/>
      <c r="D703" s="56"/>
      <c r="E703" s="55"/>
      <c r="F703" s="54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  <c r="AA703" s="55"/>
    </row>
    <row r="704">
      <c r="A704" s="54"/>
      <c r="B704" s="55"/>
      <c r="C704" s="55"/>
      <c r="D704" s="56"/>
      <c r="E704" s="55"/>
      <c r="F704" s="54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  <c r="AA704" s="55"/>
    </row>
    <row r="705">
      <c r="A705" s="54"/>
      <c r="B705" s="55"/>
      <c r="C705" s="55"/>
      <c r="D705" s="56"/>
      <c r="E705" s="55"/>
      <c r="F705" s="54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  <c r="AA705" s="55"/>
    </row>
    <row r="706">
      <c r="A706" s="54"/>
      <c r="B706" s="55"/>
      <c r="C706" s="55"/>
      <c r="D706" s="56"/>
      <c r="E706" s="55"/>
      <c r="F706" s="54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  <c r="AA706" s="55"/>
    </row>
    <row r="707">
      <c r="A707" s="54"/>
      <c r="B707" s="55"/>
      <c r="C707" s="55"/>
      <c r="D707" s="56"/>
      <c r="E707" s="55"/>
      <c r="F707" s="54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  <c r="AA707" s="55"/>
    </row>
    <row r="708">
      <c r="A708" s="54"/>
      <c r="B708" s="55"/>
      <c r="C708" s="55"/>
      <c r="D708" s="56"/>
      <c r="E708" s="55"/>
      <c r="F708" s="54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  <c r="AA708" s="55"/>
    </row>
    <row r="709">
      <c r="A709" s="54"/>
      <c r="B709" s="55"/>
      <c r="C709" s="55"/>
      <c r="D709" s="56"/>
      <c r="E709" s="55"/>
      <c r="F709" s="54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  <c r="AA709" s="55"/>
    </row>
    <row r="710">
      <c r="A710" s="54"/>
      <c r="B710" s="55"/>
      <c r="C710" s="55"/>
      <c r="D710" s="56"/>
      <c r="E710" s="55"/>
      <c r="F710" s="54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  <c r="AA710" s="55"/>
    </row>
    <row r="711">
      <c r="A711" s="54"/>
      <c r="B711" s="55"/>
      <c r="C711" s="55"/>
      <c r="D711" s="56"/>
      <c r="E711" s="55"/>
      <c r="F711" s="54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  <c r="AA711" s="55"/>
    </row>
    <row r="712">
      <c r="A712" s="54"/>
      <c r="B712" s="55"/>
      <c r="C712" s="55"/>
      <c r="D712" s="56"/>
      <c r="E712" s="55"/>
      <c r="F712" s="54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  <c r="AA712" s="55"/>
    </row>
    <row r="713">
      <c r="A713" s="54"/>
      <c r="B713" s="55"/>
      <c r="C713" s="55"/>
      <c r="D713" s="56"/>
      <c r="E713" s="55"/>
      <c r="F713" s="54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  <c r="AA713" s="55"/>
    </row>
    <row r="714">
      <c r="A714" s="54"/>
      <c r="B714" s="55"/>
      <c r="C714" s="55"/>
      <c r="D714" s="56"/>
      <c r="E714" s="55"/>
      <c r="F714" s="54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  <c r="AA714" s="55"/>
    </row>
    <row r="715">
      <c r="A715" s="54"/>
      <c r="B715" s="55"/>
      <c r="C715" s="55"/>
      <c r="D715" s="56"/>
      <c r="E715" s="55"/>
      <c r="F715" s="54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  <c r="AA715" s="55"/>
    </row>
    <row r="716">
      <c r="A716" s="54"/>
      <c r="B716" s="55"/>
      <c r="C716" s="55"/>
      <c r="D716" s="56"/>
      <c r="E716" s="55"/>
      <c r="F716" s="54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  <c r="AA716" s="55"/>
    </row>
    <row r="717">
      <c r="A717" s="54"/>
      <c r="B717" s="55"/>
      <c r="C717" s="55"/>
      <c r="D717" s="56"/>
      <c r="E717" s="55"/>
      <c r="F717" s="54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  <c r="AA717" s="55"/>
    </row>
    <row r="718">
      <c r="A718" s="54"/>
      <c r="B718" s="55"/>
      <c r="C718" s="55"/>
      <c r="D718" s="56"/>
      <c r="E718" s="55"/>
      <c r="F718" s="54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  <c r="AA718" s="55"/>
    </row>
    <row r="719">
      <c r="A719" s="54"/>
      <c r="B719" s="55"/>
      <c r="C719" s="55"/>
      <c r="D719" s="56"/>
      <c r="E719" s="55"/>
      <c r="F719" s="54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  <c r="AA719" s="55"/>
    </row>
    <row r="720">
      <c r="A720" s="54"/>
      <c r="B720" s="55"/>
      <c r="C720" s="55"/>
      <c r="D720" s="56"/>
      <c r="E720" s="55"/>
      <c r="F720" s="54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  <c r="AA720" s="55"/>
    </row>
    <row r="721">
      <c r="A721" s="54"/>
      <c r="B721" s="55"/>
      <c r="C721" s="55"/>
      <c r="D721" s="56"/>
      <c r="E721" s="55"/>
      <c r="F721" s="54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  <c r="AA721" s="55"/>
    </row>
    <row r="722">
      <c r="A722" s="54"/>
      <c r="B722" s="55"/>
      <c r="C722" s="55"/>
      <c r="D722" s="56"/>
      <c r="E722" s="55"/>
      <c r="F722" s="54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  <c r="AA722" s="55"/>
    </row>
    <row r="723">
      <c r="A723" s="54"/>
      <c r="B723" s="55"/>
      <c r="C723" s="55"/>
      <c r="D723" s="56"/>
      <c r="E723" s="55"/>
      <c r="F723" s="54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  <c r="AA723" s="55"/>
    </row>
    <row r="724">
      <c r="A724" s="54"/>
      <c r="B724" s="55"/>
      <c r="C724" s="55"/>
      <c r="D724" s="56"/>
      <c r="E724" s="55"/>
      <c r="F724" s="54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  <c r="AA724" s="55"/>
    </row>
    <row r="725">
      <c r="A725" s="54"/>
      <c r="B725" s="55"/>
      <c r="C725" s="55"/>
      <c r="D725" s="56"/>
      <c r="E725" s="55"/>
      <c r="F725" s="54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  <c r="AA725" s="55"/>
    </row>
    <row r="726">
      <c r="A726" s="54"/>
      <c r="B726" s="55"/>
      <c r="C726" s="55"/>
      <c r="D726" s="56"/>
      <c r="E726" s="55"/>
      <c r="F726" s="54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  <c r="AA726" s="55"/>
    </row>
    <row r="727">
      <c r="A727" s="54"/>
      <c r="B727" s="55"/>
      <c r="C727" s="55"/>
      <c r="D727" s="56"/>
      <c r="E727" s="55"/>
      <c r="F727" s="54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  <c r="AA727" s="55"/>
    </row>
    <row r="728">
      <c r="A728" s="54"/>
      <c r="B728" s="55"/>
      <c r="C728" s="55"/>
      <c r="D728" s="56"/>
      <c r="E728" s="55"/>
      <c r="F728" s="54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  <c r="AA728" s="55"/>
    </row>
    <row r="729">
      <c r="A729" s="54"/>
      <c r="B729" s="55"/>
      <c r="C729" s="55"/>
      <c r="D729" s="56"/>
      <c r="E729" s="55"/>
      <c r="F729" s="54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  <c r="AA729" s="55"/>
    </row>
    <row r="730">
      <c r="A730" s="54"/>
      <c r="B730" s="55"/>
      <c r="C730" s="55"/>
      <c r="D730" s="56"/>
      <c r="E730" s="55"/>
      <c r="F730" s="54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  <c r="AA730" s="55"/>
    </row>
    <row r="731">
      <c r="A731" s="54"/>
      <c r="B731" s="55"/>
      <c r="C731" s="55"/>
      <c r="D731" s="56"/>
      <c r="E731" s="55"/>
      <c r="F731" s="54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  <c r="AA731" s="55"/>
    </row>
    <row r="732">
      <c r="A732" s="54"/>
      <c r="B732" s="55"/>
      <c r="C732" s="55"/>
      <c r="D732" s="56"/>
      <c r="E732" s="55"/>
      <c r="F732" s="54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  <c r="AA732" s="55"/>
    </row>
    <row r="733">
      <c r="A733" s="54"/>
      <c r="B733" s="55"/>
      <c r="C733" s="55"/>
      <c r="D733" s="56"/>
      <c r="E733" s="55"/>
      <c r="F733" s="54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  <c r="AA733" s="55"/>
    </row>
    <row r="734">
      <c r="A734" s="54"/>
      <c r="B734" s="55"/>
      <c r="C734" s="55"/>
      <c r="D734" s="56"/>
      <c r="E734" s="55"/>
      <c r="F734" s="54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  <c r="AA734" s="55"/>
    </row>
    <row r="735">
      <c r="A735" s="54"/>
      <c r="B735" s="55"/>
      <c r="C735" s="55"/>
      <c r="D735" s="56"/>
      <c r="E735" s="55"/>
      <c r="F735" s="54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  <c r="AA735" s="55"/>
    </row>
    <row r="736">
      <c r="A736" s="54"/>
      <c r="B736" s="55"/>
      <c r="C736" s="55"/>
      <c r="D736" s="56"/>
      <c r="E736" s="55"/>
      <c r="F736" s="54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  <c r="AA736" s="55"/>
    </row>
    <row r="737">
      <c r="A737" s="54"/>
      <c r="B737" s="55"/>
      <c r="C737" s="55"/>
      <c r="D737" s="56"/>
      <c r="E737" s="55"/>
      <c r="F737" s="54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  <c r="AA737" s="55"/>
    </row>
    <row r="738">
      <c r="A738" s="54"/>
      <c r="B738" s="55"/>
      <c r="C738" s="55"/>
      <c r="D738" s="56"/>
      <c r="E738" s="55"/>
      <c r="F738" s="54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  <c r="AA738" s="55"/>
    </row>
    <row r="739">
      <c r="A739" s="54"/>
      <c r="B739" s="55"/>
      <c r="C739" s="55"/>
      <c r="D739" s="56"/>
      <c r="E739" s="55"/>
      <c r="F739" s="54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  <c r="AA739" s="55"/>
    </row>
    <row r="740">
      <c r="A740" s="54"/>
      <c r="B740" s="55"/>
      <c r="C740" s="55"/>
      <c r="D740" s="56"/>
      <c r="E740" s="55"/>
      <c r="F740" s="54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  <c r="AA740" s="55"/>
    </row>
    <row r="741">
      <c r="A741" s="54"/>
      <c r="B741" s="55"/>
      <c r="C741" s="55"/>
      <c r="D741" s="56"/>
      <c r="E741" s="55"/>
      <c r="F741" s="54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  <c r="AA741" s="55"/>
    </row>
    <row r="742">
      <c r="A742" s="54"/>
      <c r="B742" s="55"/>
      <c r="C742" s="55"/>
      <c r="D742" s="56"/>
      <c r="E742" s="55"/>
      <c r="F742" s="54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  <c r="AA742" s="55"/>
    </row>
    <row r="743">
      <c r="A743" s="54"/>
      <c r="B743" s="55"/>
      <c r="C743" s="55"/>
      <c r="D743" s="56"/>
      <c r="E743" s="55"/>
      <c r="F743" s="54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  <c r="AA743" s="55"/>
    </row>
    <row r="744">
      <c r="A744" s="54"/>
      <c r="B744" s="55"/>
      <c r="C744" s="55"/>
      <c r="D744" s="56"/>
      <c r="E744" s="55"/>
      <c r="F744" s="54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  <c r="AA744" s="55"/>
    </row>
    <row r="745">
      <c r="A745" s="54"/>
      <c r="B745" s="55"/>
      <c r="C745" s="55"/>
      <c r="D745" s="56"/>
      <c r="E745" s="55"/>
      <c r="F745" s="54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  <c r="AA745" s="55"/>
    </row>
    <row r="746">
      <c r="A746" s="54"/>
      <c r="B746" s="55"/>
      <c r="C746" s="55"/>
      <c r="D746" s="56"/>
      <c r="E746" s="55"/>
      <c r="F746" s="54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  <c r="AA746" s="55"/>
    </row>
    <row r="747">
      <c r="A747" s="54"/>
      <c r="B747" s="55"/>
      <c r="C747" s="55"/>
      <c r="D747" s="56"/>
      <c r="E747" s="55"/>
      <c r="F747" s="54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  <c r="AA747" s="55"/>
    </row>
    <row r="748">
      <c r="A748" s="54"/>
      <c r="B748" s="55"/>
      <c r="C748" s="55"/>
      <c r="D748" s="56"/>
      <c r="E748" s="55"/>
      <c r="F748" s="54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  <c r="AA748" s="55"/>
    </row>
    <row r="749">
      <c r="A749" s="54"/>
      <c r="B749" s="55"/>
      <c r="C749" s="55"/>
      <c r="D749" s="56"/>
      <c r="E749" s="55"/>
      <c r="F749" s="54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  <c r="AA749" s="55"/>
    </row>
    <row r="750">
      <c r="A750" s="54"/>
      <c r="B750" s="55"/>
      <c r="C750" s="55"/>
      <c r="D750" s="56"/>
      <c r="E750" s="55"/>
      <c r="F750" s="54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  <c r="AA750" s="55"/>
    </row>
    <row r="751">
      <c r="A751" s="54"/>
      <c r="B751" s="55"/>
      <c r="C751" s="55"/>
      <c r="D751" s="56"/>
      <c r="E751" s="55"/>
      <c r="F751" s="54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  <c r="AA751" s="55"/>
    </row>
    <row r="752">
      <c r="A752" s="54"/>
      <c r="B752" s="55"/>
      <c r="C752" s="55"/>
      <c r="D752" s="56"/>
      <c r="E752" s="55"/>
      <c r="F752" s="54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  <c r="AA752" s="55"/>
    </row>
    <row r="753">
      <c r="A753" s="54"/>
      <c r="B753" s="55"/>
      <c r="C753" s="55"/>
      <c r="D753" s="56"/>
      <c r="E753" s="55"/>
      <c r="F753" s="54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  <c r="AA753" s="55"/>
    </row>
    <row r="754">
      <c r="A754" s="54"/>
      <c r="B754" s="55"/>
      <c r="C754" s="55"/>
      <c r="D754" s="56"/>
      <c r="E754" s="55"/>
      <c r="F754" s="54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  <c r="AA754" s="55"/>
    </row>
    <row r="755">
      <c r="A755" s="54"/>
      <c r="B755" s="55"/>
      <c r="C755" s="55"/>
      <c r="D755" s="56"/>
      <c r="E755" s="55"/>
      <c r="F755" s="54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  <c r="AA755" s="55"/>
    </row>
    <row r="756">
      <c r="A756" s="54"/>
      <c r="B756" s="55"/>
      <c r="C756" s="55"/>
      <c r="D756" s="56"/>
      <c r="E756" s="55"/>
      <c r="F756" s="54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  <c r="AA756" s="55"/>
    </row>
    <row r="757">
      <c r="A757" s="54"/>
      <c r="B757" s="55"/>
      <c r="C757" s="55"/>
      <c r="D757" s="56"/>
      <c r="E757" s="55"/>
      <c r="F757" s="54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  <c r="AA757" s="55"/>
    </row>
    <row r="758">
      <c r="A758" s="54"/>
      <c r="B758" s="55"/>
      <c r="C758" s="55"/>
      <c r="D758" s="56"/>
      <c r="E758" s="55"/>
      <c r="F758" s="54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  <c r="AA758" s="55"/>
    </row>
    <row r="759">
      <c r="A759" s="54"/>
      <c r="B759" s="55"/>
      <c r="C759" s="55"/>
      <c r="D759" s="56"/>
      <c r="E759" s="55"/>
      <c r="F759" s="54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  <c r="AA759" s="55"/>
    </row>
    <row r="760">
      <c r="A760" s="54"/>
      <c r="B760" s="55"/>
      <c r="C760" s="55"/>
      <c r="D760" s="56"/>
      <c r="E760" s="55"/>
      <c r="F760" s="54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  <c r="AA760" s="55"/>
    </row>
    <row r="761">
      <c r="A761" s="54"/>
      <c r="B761" s="55"/>
      <c r="C761" s="55"/>
      <c r="D761" s="56"/>
      <c r="E761" s="55"/>
      <c r="F761" s="54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  <c r="AA761" s="55"/>
    </row>
    <row r="762">
      <c r="A762" s="54"/>
      <c r="B762" s="55"/>
      <c r="C762" s="55"/>
      <c r="D762" s="56"/>
      <c r="E762" s="55"/>
      <c r="F762" s="54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  <c r="AA762" s="55"/>
    </row>
    <row r="763">
      <c r="A763" s="54"/>
      <c r="B763" s="55"/>
      <c r="C763" s="55"/>
      <c r="D763" s="56"/>
      <c r="E763" s="55"/>
      <c r="F763" s="54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  <c r="AA763" s="55"/>
    </row>
    <row r="764">
      <c r="A764" s="54"/>
      <c r="B764" s="55"/>
      <c r="C764" s="55"/>
      <c r="D764" s="56"/>
      <c r="E764" s="55"/>
      <c r="F764" s="54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  <c r="AA764" s="55"/>
    </row>
    <row r="765">
      <c r="A765" s="54"/>
      <c r="B765" s="55"/>
      <c r="C765" s="55"/>
      <c r="D765" s="56"/>
      <c r="E765" s="55"/>
      <c r="F765" s="54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  <c r="AA765" s="55"/>
    </row>
    <row r="766">
      <c r="A766" s="54"/>
      <c r="B766" s="55"/>
      <c r="C766" s="55"/>
      <c r="D766" s="56"/>
      <c r="E766" s="55"/>
      <c r="F766" s="54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  <c r="AA766" s="55"/>
    </row>
    <row r="767">
      <c r="A767" s="54"/>
      <c r="B767" s="55"/>
      <c r="C767" s="55"/>
      <c r="D767" s="56"/>
      <c r="E767" s="55"/>
      <c r="F767" s="54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  <c r="AA767" s="55"/>
    </row>
    <row r="768">
      <c r="A768" s="54"/>
      <c r="B768" s="55"/>
      <c r="C768" s="55"/>
      <c r="D768" s="56"/>
      <c r="E768" s="55"/>
      <c r="F768" s="54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  <c r="AA768" s="55"/>
    </row>
    <row r="769">
      <c r="A769" s="54"/>
      <c r="B769" s="55"/>
      <c r="C769" s="55"/>
      <c r="D769" s="56"/>
      <c r="E769" s="55"/>
      <c r="F769" s="54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  <c r="AA769" s="55"/>
    </row>
    <row r="770">
      <c r="A770" s="54"/>
      <c r="B770" s="55"/>
      <c r="C770" s="55"/>
      <c r="D770" s="56"/>
      <c r="E770" s="55"/>
      <c r="F770" s="54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  <c r="AA770" s="55"/>
    </row>
    <row r="771">
      <c r="A771" s="57"/>
      <c r="B771" s="58"/>
      <c r="C771" s="58"/>
      <c r="D771" s="59"/>
      <c r="E771" s="58"/>
      <c r="F771" s="60"/>
      <c r="G771" s="55"/>
      <c r="H771" s="55"/>
      <c r="I771" s="55"/>
      <c r="J771" s="55"/>
      <c r="K771" s="55"/>
      <c r="L771" s="55"/>
      <c r="M771" s="58"/>
      <c r="N771" s="58"/>
      <c r="O771" s="58"/>
      <c r="P771" s="58"/>
      <c r="Q771" s="58"/>
      <c r="R771" s="61"/>
      <c r="S771" s="55"/>
      <c r="T771" s="55"/>
      <c r="U771" s="55"/>
      <c r="V771" s="55"/>
      <c r="W771" s="55"/>
      <c r="X771" s="55"/>
      <c r="Y771" s="55"/>
      <c r="Z771" s="55"/>
      <c r="AA771" s="55"/>
    </row>
    <row r="772">
      <c r="A772" s="62"/>
      <c r="B772" s="63"/>
      <c r="C772" s="63"/>
      <c r="D772" s="64"/>
      <c r="E772" s="55"/>
      <c r="F772" s="65"/>
      <c r="G772" s="55"/>
      <c r="H772" s="55"/>
      <c r="I772" s="55"/>
      <c r="J772" s="55"/>
      <c r="K772" s="55"/>
      <c r="L772" s="55"/>
      <c r="M772" s="66"/>
      <c r="N772" s="63"/>
      <c r="O772" s="63"/>
      <c r="P772" s="67"/>
      <c r="Q772" s="55"/>
      <c r="R772" s="63"/>
      <c r="S772" s="55"/>
      <c r="T772" s="55"/>
      <c r="U772" s="55"/>
      <c r="V772" s="55"/>
      <c r="W772" s="55"/>
      <c r="X772" s="55"/>
      <c r="Y772" s="55"/>
      <c r="Z772" s="55"/>
      <c r="AA772" s="55"/>
    </row>
    <row r="773">
      <c r="A773" s="68"/>
      <c r="B773" s="69"/>
      <c r="C773" s="69"/>
      <c r="D773" s="70"/>
      <c r="E773" s="71"/>
      <c r="F773" s="72"/>
      <c r="G773" s="55"/>
      <c r="H773" s="55"/>
      <c r="I773" s="55"/>
      <c r="J773" s="55"/>
      <c r="K773" s="55"/>
      <c r="L773" s="55"/>
      <c r="M773" s="73"/>
      <c r="N773" s="69"/>
      <c r="O773" s="69"/>
      <c r="P773" s="74"/>
      <c r="Q773" s="71"/>
      <c r="R773" s="69"/>
      <c r="S773" s="55"/>
      <c r="T773" s="55"/>
      <c r="U773" s="55"/>
      <c r="V773" s="55"/>
      <c r="W773" s="55"/>
      <c r="X773" s="55"/>
      <c r="Y773" s="55"/>
      <c r="Z773" s="55"/>
      <c r="AA773" s="55"/>
    </row>
    <row r="774">
      <c r="A774" s="62"/>
      <c r="B774" s="63"/>
      <c r="C774" s="63"/>
      <c r="D774" s="64"/>
      <c r="E774" s="55"/>
      <c r="F774" s="65"/>
      <c r="G774" s="55"/>
      <c r="H774" s="55"/>
      <c r="I774" s="55"/>
      <c r="J774" s="55"/>
      <c r="K774" s="55"/>
      <c r="L774" s="55"/>
      <c r="M774" s="66"/>
      <c r="N774" s="63"/>
      <c r="O774" s="63"/>
      <c r="P774" s="67"/>
      <c r="Q774" s="55"/>
      <c r="R774" s="63"/>
      <c r="S774" s="55"/>
      <c r="T774" s="55"/>
      <c r="U774" s="55"/>
      <c r="V774" s="55"/>
      <c r="W774" s="55"/>
      <c r="X774" s="55"/>
      <c r="Y774" s="55"/>
      <c r="Z774" s="55"/>
      <c r="AA774" s="55"/>
    </row>
    <row r="775">
      <c r="A775" s="62"/>
      <c r="B775" s="63"/>
      <c r="C775" s="63"/>
      <c r="D775" s="64"/>
      <c r="E775" s="55"/>
      <c r="F775" s="65"/>
      <c r="G775" s="55"/>
      <c r="H775" s="55"/>
      <c r="I775" s="55"/>
      <c r="J775" s="55"/>
      <c r="K775" s="55"/>
      <c r="L775" s="55"/>
      <c r="M775" s="66"/>
      <c r="N775" s="63"/>
      <c r="O775" s="63"/>
      <c r="P775" s="67"/>
      <c r="Q775" s="55"/>
      <c r="R775" s="63"/>
      <c r="S775" s="55"/>
      <c r="T775" s="55"/>
      <c r="U775" s="55"/>
      <c r="V775" s="55"/>
      <c r="W775" s="55"/>
      <c r="X775" s="55"/>
      <c r="Y775" s="55"/>
      <c r="Z775" s="55"/>
      <c r="AA775" s="55"/>
    </row>
    <row r="776">
      <c r="A776" s="62"/>
      <c r="B776" s="63"/>
      <c r="C776" s="63"/>
      <c r="D776" s="64"/>
      <c r="E776" s="55"/>
      <c r="F776" s="65"/>
      <c r="G776" s="55"/>
      <c r="H776" s="55"/>
      <c r="I776" s="55"/>
      <c r="J776" s="55"/>
      <c r="K776" s="55"/>
      <c r="L776" s="55"/>
      <c r="M776" s="66"/>
      <c r="N776" s="63"/>
      <c r="O776" s="63"/>
      <c r="P776" s="67"/>
      <c r="Q776" s="55"/>
      <c r="R776" s="63"/>
      <c r="S776" s="55"/>
      <c r="T776" s="55"/>
      <c r="U776" s="55"/>
      <c r="V776" s="55"/>
      <c r="W776" s="55"/>
      <c r="X776" s="55"/>
      <c r="Y776" s="55"/>
      <c r="Z776" s="55"/>
      <c r="AA776" s="55"/>
    </row>
    <row r="777">
      <c r="A777" s="62"/>
      <c r="B777" s="63"/>
      <c r="C777" s="63"/>
      <c r="D777" s="64"/>
      <c r="E777" s="55"/>
      <c r="F777" s="65"/>
      <c r="G777" s="55"/>
      <c r="H777" s="55"/>
      <c r="I777" s="55"/>
      <c r="J777" s="55"/>
      <c r="K777" s="55"/>
      <c r="L777" s="55"/>
      <c r="M777" s="66"/>
      <c r="N777" s="63"/>
      <c r="O777" s="63"/>
      <c r="P777" s="67"/>
      <c r="Q777" s="55"/>
      <c r="R777" s="63"/>
      <c r="S777" s="55"/>
      <c r="T777" s="55"/>
      <c r="U777" s="55"/>
      <c r="V777" s="55"/>
      <c r="W777" s="55"/>
      <c r="X777" s="55"/>
      <c r="Y777" s="55"/>
      <c r="Z777" s="55"/>
      <c r="AA777" s="55"/>
    </row>
    <row r="778">
      <c r="A778" s="62"/>
      <c r="B778" s="63"/>
      <c r="C778" s="63"/>
      <c r="D778" s="64"/>
      <c r="E778" s="55"/>
      <c r="F778" s="65"/>
      <c r="G778" s="55"/>
      <c r="H778" s="55"/>
      <c r="I778" s="55"/>
      <c r="J778" s="55"/>
      <c r="K778" s="55"/>
      <c r="L778" s="55"/>
      <c r="M778" s="66"/>
      <c r="N778" s="63"/>
      <c r="O778" s="63"/>
      <c r="P778" s="67"/>
      <c r="Q778" s="55"/>
      <c r="R778" s="63"/>
      <c r="S778" s="55"/>
      <c r="T778" s="55"/>
      <c r="U778" s="55"/>
      <c r="V778" s="55"/>
      <c r="W778" s="55"/>
      <c r="X778" s="55"/>
      <c r="Y778" s="55"/>
      <c r="Z778" s="55"/>
      <c r="AA778" s="55"/>
    </row>
    <row r="779">
      <c r="A779" s="62"/>
      <c r="B779" s="63"/>
      <c r="C779" s="63"/>
      <c r="D779" s="64"/>
      <c r="E779" s="55"/>
      <c r="F779" s="65"/>
      <c r="G779" s="55"/>
      <c r="H779" s="55"/>
      <c r="I779" s="55"/>
      <c r="J779" s="55"/>
      <c r="K779" s="55"/>
      <c r="L779" s="55"/>
      <c r="M779" s="66"/>
      <c r="N779" s="63"/>
      <c r="O779" s="63"/>
      <c r="P779" s="67"/>
      <c r="Q779" s="55"/>
      <c r="R779" s="63"/>
      <c r="S779" s="55"/>
      <c r="T779" s="55"/>
      <c r="U779" s="55"/>
      <c r="V779" s="55"/>
      <c r="W779" s="55"/>
      <c r="X779" s="55"/>
      <c r="Y779" s="55"/>
      <c r="Z779" s="55"/>
      <c r="AA779" s="55"/>
    </row>
    <row r="780">
      <c r="A780" s="62"/>
      <c r="B780" s="63"/>
      <c r="C780" s="63"/>
      <c r="D780" s="64"/>
      <c r="E780" s="55"/>
      <c r="F780" s="65"/>
      <c r="G780" s="55"/>
      <c r="H780" s="55"/>
      <c r="I780" s="55"/>
      <c r="J780" s="55"/>
      <c r="K780" s="55"/>
      <c r="L780" s="55"/>
      <c r="M780" s="66"/>
      <c r="N780" s="63"/>
      <c r="O780" s="63"/>
      <c r="P780" s="67"/>
      <c r="Q780" s="55"/>
      <c r="R780" s="63"/>
      <c r="S780" s="55"/>
      <c r="T780" s="55"/>
      <c r="U780" s="55"/>
      <c r="V780" s="55"/>
      <c r="W780" s="55"/>
      <c r="X780" s="55"/>
      <c r="Y780" s="55"/>
      <c r="Z780" s="55"/>
      <c r="AA780" s="55"/>
    </row>
    <row r="781">
      <c r="A781" s="54"/>
      <c r="B781" s="55"/>
      <c r="C781" s="55"/>
      <c r="D781" s="56"/>
      <c r="E781" s="55"/>
      <c r="F781" s="54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  <c r="AA781" s="55"/>
    </row>
    <row r="782">
      <c r="A782" s="54"/>
      <c r="B782" s="55"/>
      <c r="C782" s="55"/>
      <c r="D782" s="56"/>
      <c r="E782" s="55"/>
      <c r="F782" s="54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  <c r="AA782" s="55"/>
    </row>
    <row r="783">
      <c r="A783" s="54"/>
      <c r="B783" s="55"/>
      <c r="C783" s="55"/>
      <c r="D783" s="56"/>
      <c r="E783" s="55"/>
      <c r="F783" s="54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  <c r="AA783" s="55"/>
    </row>
    <row r="784">
      <c r="A784" s="54"/>
      <c r="B784" s="55"/>
      <c r="C784" s="55"/>
      <c r="D784" s="56"/>
      <c r="E784" s="55"/>
      <c r="F784" s="54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  <c r="AA784" s="55"/>
    </row>
    <row r="785">
      <c r="A785" s="54"/>
      <c r="B785" s="55"/>
      <c r="C785" s="55"/>
      <c r="D785" s="56"/>
      <c r="E785" s="55"/>
      <c r="F785" s="54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  <c r="AA785" s="55"/>
    </row>
    <row r="786">
      <c r="A786" s="54"/>
      <c r="B786" s="55"/>
      <c r="C786" s="55"/>
      <c r="D786" s="56"/>
      <c r="E786" s="55"/>
      <c r="F786" s="54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  <c r="AA786" s="55"/>
    </row>
    <row r="787">
      <c r="A787" s="54"/>
      <c r="B787" s="55"/>
      <c r="C787" s="55"/>
      <c r="D787" s="56"/>
      <c r="E787" s="55"/>
      <c r="F787" s="54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  <c r="AA787" s="55"/>
    </row>
    <row r="788">
      <c r="A788" s="54"/>
      <c r="B788" s="55"/>
      <c r="C788" s="55"/>
      <c r="D788" s="56"/>
      <c r="E788" s="55"/>
      <c r="F788" s="54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  <c r="AA788" s="55"/>
    </row>
    <row r="789">
      <c r="A789" s="54"/>
      <c r="B789" s="55"/>
      <c r="C789" s="55"/>
      <c r="D789" s="56"/>
      <c r="E789" s="55"/>
      <c r="F789" s="54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  <c r="AA789" s="55"/>
    </row>
    <row r="790">
      <c r="A790" s="54"/>
      <c r="B790" s="55"/>
      <c r="C790" s="55"/>
      <c r="D790" s="56"/>
      <c r="E790" s="55"/>
      <c r="F790" s="54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  <c r="AA790" s="55"/>
    </row>
    <row r="791">
      <c r="A791" s="54"/>
      <c r="B791" s="55"/>
      <c r="C791" s="55"/>
      <c r="D791" s="56"/>
      <c r="E791" s="55"/>
      <c r="F791" s="54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  <c r="AA791" s="55"/>
    </row>
    <row r="792">
      <c r="A792" s="54"/>
      <c r="B792" s="55"/>
      <c r="C792" s="55"/>
      <c r="D792" s="56"/>
      <c r="E792" s="55"/>
      <c r="F792" s="54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  <c r="AA792" s="55"/>
    </row>
    <row r="793">
      <c r="A793" s="54"/>
      <c r="B793" s="55"/>
      <c r="C793" s="55"/>
      <c r="D793" s="56"/>
      <c r="E793" s="55"/>
      <c r="F793" s="54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  <c r="AA793" s="55"/>
    </row>
    <row r="794">
      <c r="A794" s="54"/>
      <c r="B794" s="55"/>
      <c r="C794" s="55"/>
      <c r="D794" s="56"/>
      <c r="E794" s="55"/>
      <c r="F794" s="54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  <c r="AA794" s="55"/>
    </row>
    <row r="795">
      <c r="A795" s="54"/>
      <c r="B795" s="55"/>
      <c r="C795" s="55"/>
      <c r="D795" s="56"/>
      <c r="E795" s="55"/>
      <c r="F795" s="54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  <c r="AA795" s="55"/>
    </row>
    <row r="796">
      <c r="A796" s="54"/>
      <c r="B796" s="55"/>
      <c r="C796" s="55"/>
      <c r="D796" s="56"/>
      <c r="E796" s="55"/>
      <c r="F796" s="54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  <c r="AA796" s="55"/>
    </row>
    <row r="797">
      <c r="A797" s="54"/>
      <c r="B797" s="55"/>
      <c r="C797" s="55"/>
      <c r="D797" s="56"/>
      <c r="E797" s="55"/>
      <c r="F797" s="54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  <c r="AA797" s="55"/>
    </row>
    <row r="798">
      <c r="A798" s="54"/>
      <c r="B798" s="55"/>
      <c r="C798" s="55"/>
      <c r="D798" s="56"/>
      <c r="E798" s="55"/>
      <c r="F798" s="54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  <c r="AA798" s="55"/>
    </row>
    <row r="799">
      <c r="A799" s="54"/>
      <c r="B799" s="55"/>
      <c r="C799" s="55"/>
      <c r="D799" s="56"/>
      <c r="E799" s="55"/>
      <c r="F799" s="54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  <c r="AA799" s="55"/>
    </row>
    <row r="800">
      <c r="A800" s="54"/>
      <c r="B800" s="55"/>
      <c r="C800" s="55"/>
      <c r="D800" s="56"/>
      <c r="E800" s="55"/>
      <c r="F800" s="54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  <c r="AA800" s="55"/>
    </row>
    <row r="801">
      <c r="A801" s="54"/>
      <c r="B801" s="55"/>
      <c r="C801" s="55"/>
      <c r="D801" s="56"/>
      <c r="E801" s="55"/>
      <c r="F801" s="54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  <c r="AA801" s="55"/>
    </row>
    <row r="802">
      <c r="A802" s="54"/>
      <c r="B802" s="55"/>
      <c r="C802" s="55"/>
      <c r="D802" s="56"/>
      <c r="E802" s="55"/>
      <c r="F802" s="54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  <c r="AA802" s="55"/>
    </row>
    <row r="803">
      <c r="A803" s="54"/>
      <c r="B803" s="55"/>
      <c r="C803" s="55"/>
      <c r="D803" s="56"/>
      <c r="E803" s="55"/>
      <c r="F803" s="54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  <c r="AA803" s="55"/>
    </row>
    <row r="804">
      <c r="A804" s="54"/>
      <c r="B804" s="55"/>
      <c r="C804" s="55"/>
      <c r="D804" s="56"/>
      <c r="E804" s="55"/>
      <c r="F804" s="54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  <c r="AA804" s="55"/>
    </row>
    <row r="805">
      <c r="A805" s="54"/>
      <c r="B805" s="55"/>
      <c r="C805" s="55"/>
      <c r="D805" s="56"/>
      <c r="E805" s="55"/>
      <c r="F805" s="54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  <c r="AA805" s="55"/>
    </row>
    <row r="806">
      <c r="A806" s="54"/>
      <c r="B806" s="55"/>
      <c r="C806" s="55"/>
      <c r="D806" s="56"/>
      <c r="E806" s="55"/>
      <c r="F806" s="54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  <c r="AA806" s="55"/>
    </row>
    <row r="807">
      <c r="A807" s="54"/>
      <c r="B807" s="55"/>
      <c r="C807" s="55"/>
      <c r="D807" s="56"/>
      <c r="E807" s="55"/>
      <c r="F807" s="54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  <c r="AA807" s="55"/>
    </row>
    <row r="808">
      <c r="A808" s="54"/>
      <c r="B808" s="55"/>
      <c r="C808" s="55"/>
      <c r="D808" s="56"/>
      <c r="E808" s="55"/>
      <c r="F808" s="54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  <c r="AA808" s="55"/>
    </row>
    <row r="809">
      <c r="A809" s="54"/>
      <c r="B809" s="55"/>
      <c r="C809" s="55"/>
      <c r="D809" s="56"/>
      <c r="E809" s="55"/>
      <c r="F809" s="54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  <c r="AA809" s="55"/>
    </row>
    <row r="810">
      <c r="A810" s="54"/>
      <c r="B810" s="55"/>
      <c r="C810" s="55"/>
      <c r="D810" s="56"/>
      <c r="E810" s="55"/>
      <c r="F810" s="54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  <c r="AA810" s="55"/>
    </row>
    <row r="811">
      <c r="A811" s="54"/>
      <c r="B811" s="55"/>
      <c r="C811" s="55"/>
      <c r="D811" s="56"/>
      <c r="E811" s="55"/>
      <c r="F811" s="54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  <c r="AA811" s="55"/>
    </row>
    <row r="812">
      <c r="A812" s="54"/>
      <c r="B812" s="55"/>
      <c r="C812" s="55"/>
      <c r="D812" s="56"/>
      <c r="E812" s="55"/>
      <c r="F812" s="54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  <c r="AA812" s="55"/>
    </row>
    <row r="813">
      <c r="A813" s="54"/>
      <c r="B813" s="55"/>
      <c r="C813" s="55"/>
      <c r="D813" s="56"/>
      <c r="E813" s="55"/>
      <c r="F813" s="54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  <c r="AA813" s="55"/>
    </row>
    <row r="814">
      <c r="A814" s="54"/>
      <c r="B814" s="55"/>
      <c r="C814" s="55"/>
      <c r="D814" s="56"/>
      <c r="E814" s="55"/>
      <c r="F814" s="54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  <c r="AA814" s="55"/>
    </row>
    <row r="815">
      <c r="A815" s="54"/>
      <c r="B815" s="55"/>
      <c r="C815" s="55"/>
      <c r="D815" s="56"/>
      <c r="E815" s="55"/>
      <c r="F815" s="54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  <c r="AA815" s="55"/>
    </row>
    <row r="816">
      <c r="A816" s="54"/>
      <c r="B816" s="55"/>
      <c r="C816" s="55"/>
      <c r="D816" s="56"/>
      <c r="E816" s="55"/>
      <c r="F816" s="54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  <c r="AA816" s="55"/>
    </row>
    <row r="817">
      <c r="A817" s="54"/>
      <c r="B817" s="55"/>
      <c r="C817" s="55"/>
      <c r="D817" s="56"/>
      <c r="E817" s="55"/>
      <c r="F817" s="54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  <c r="AA817" s="55"/>
    </row>
    <row r="818">
      <c r="A818" s="54"/>
      <c r="B818" s="55"/>
      <c r="C818" s="55"/>
      <c r="D818" s="56"/>
      <c r="E818" s="55"/>
      <c r="F818" s="54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  <c r="AA818" s="55"/>
    </row>
    <row r="819">
      <c r="A819" s="54"/>
      <c r="B819" s="55"/>
      <c r="C819" s="55"/>
      <c r="D819" s="56"/>
      <c r="E819" s="55"/>
      <c r="F819" s="54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  <c r="AA819" s="55"/>
    </row>
    <row r="820">
      <c r="A820" s="54"/>
      <c r="B820" s="55"/>
      <c r="C820" s="55"/>
      <c r="D820" s="56"/>
      <c r="E820" s="55"/>
      <c r="F820" s="54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  <c r="AA820" s="55"/>
    </row>
    <row r="821">
      <c r="A821" s="54"/>
      <c r="B821" s="55"/>
      <c r="C821" s="55"/>
      <c r="D821" s="56"/>
      <c r="E821" s="55"/>
      <c r="F821" s="54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  <c r="AA821" s="55"/>
    </row>
    <row r="822">
      <c r="A822" s="54"/>
      <c r="B822" s="55"/>
      <c r="C822" s="55"/>
      <c r="D822" s="56"/>
      <c r="E822" s="55"/>
      <c r="F822" s="54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  <c r="AA822" s="55"/>
    </row>
    <row r="823">
      <c r="A823" s="54"/>
      <c r="B823" s="55"/>
      <c r="C823" s="55"/>
      <c r="D823" s="56"/>
      <c r="E823" s="55"/>
      <c r="F823" s="54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  <c r="AA823" s="55"/>
    </row>
    <row r="824">
      <c r="A824" s="54"/>
      <c r="B824" s="55"/>
      <c r="C824" s="55"/>
      <c r="D824" s="56"/>
      <c r="E824" s="55"/>
      <c r="F824" s="54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  <c r="AA824" s="55"/>
    </row>
    <row r="825">
      <c r="A825" s="54"/>
      <c r="B825" s="55"/>
      <c r="C825" s="55"/>
      <c r="D825" s="56"/>
      <c r="E825" s="55"/>
      <c r="F825" s="54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  <c r="AA825" s="55"/>
    </row>
    <row r="826">
      <c r="A826" s="54"/>
      <c r="B826" s="55"/>
      <c r="C826" s="55"/>
      <c r="D826" s="56"/>
      <c r="E826" s="55"/>
      <c r="F826" s="54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  <c r="AA826" s="55"/>
    </row>
    <row r="827">
      <c r="A827" s="54"/>
      <c r="B827" s="55"/>
      <c r="C827" s="55"/>
      <c r="D827" s="56"/>
      <c r="E827" s="55"/>
      <c r="F827" s="54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  <c r="AA827" s="55"/>
    </row>
    <row r="828">
      <c r="A828" s="54"/>
      <c r="B828" s="55"/>
      <c r="C828" s="55"/>
      <c r="D828" s="56"/>
      <c r="E828" s="55"/>
      <c r="F828" s="54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  <c r="AA828" s="55"/>
    </row>
    <row r="829">
      <c r="A829" s="54"/>
      <c r="B829" s="55"/>
      <c r="C829" s="55"/>
      <c r="D829" s="56"/>
      <c r="E829" s="55"/>
      <c r="F829" s="54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  <c r="AA829" s="55"/>
    </row>
    <row r="830">
      <c r="A830" s="54"/>
      <c r="B830" s="55"/>
      <c r="C830" s="55"/>
      <c r="D830" s="56"/>
      <c r="E830" s="55"/>
      <c r="F830" s="54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  <c r="AA830" s="55"/>
    </row>
    <row r="831">
      <c r="A831" s="54"/>
      <c r="B831" s="55"/>
      <c r="C831" s="55"/>
      <c r="D831" s="56"/>
      <c r="E831" s="55"/>
      <c r="F831" s="54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  <c r="AA831" s="55"/>
    </row>
    <row r="832">
      <c r="A832" s="54"/>
      <c r="B832" s="55"/>
      <c r="C832" s="55"/>
      <c r="D832" s="56"/>
      <c r="E832" s="55"/>
      <c r="F832" s="54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  <c r="AA832" s="55"/>
    </row>
    <row r="833">
      <c r="A833" s="54"/>
      <c r="B833" s="55"/>
      <c r="C833" s="55"/>
      <c r="D833" s="56"/>
      <c r="E833" s="55"/>
      <c r="F833" s="54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  <c r="AA833" s="55"/>
    </row>
    <row r="834">
      <c r="A834" s="54"/>
      <c r="B834" s="55"/>
      <c r="C834" s="55"/>
      <c r="D834" s="56"/>
      <c r="E834" s="55"/>
      <c r="F834" s="54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  <c r="AA834" s="55"/>
    </row>
    <row r="835">
      <c r="A835" s="54"/>
      <c r="B835" s="55"/>
      <c r="C835" s="55"/>
      <c r="D835" s="56"/>
      <c r="E835" s="55"/>
      <c r="F835" s="54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  <c r="AA835" s="55"/>
    </row>
    <row r="836">
      <c r="A836" s="54"/>
      <c r="B836" s="55"/>
      <c r="C836" s="55"/>
      <c r="D836" s="56"/>
      <c r="E836" s="55"/>
      <c r="F836" s="54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  <c r="AA836" s="55"/>
    </row>
    <row r="837">
      <c r="A837" s="54"/>
      <c r="B837" s="55"/>
      <c r="C837" s="55"/>
      <c r="D837" s="56"/>
      <c r="E837" s="55"/>
      <c r="F837" s="54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  <c r="AA837" s="55"/>
    </row>
    <row r="838">
      <c r="A838" s="54"/>
      <c r="B838" s="55"/>
      <c r="C838" s="55"/>
      <c r="D838" s="56"/>
      <c r="E838" s="55"/>
      <c r="F838" s="54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  <c r="AA838" s="55"/>
    </row>
    <row r="839">
      <c r="A839" s="54"/>
      <c r="B839" s="55"/>
      <c r="C839" s="55"/>
      <c r="D839" s="56"/>
      <c r="E839" s="55"/>
      <c r="F839" s="54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  <c r="AA839" s="55"/>
    </row>
    <row r="840">
      <c r="A840" s="54"/>
      <c r="B840" s="55"/>
      <c r="C840" s="55"/>
      <c r="D840" s="56"/>
      <c r="E840" s="55"/>
      <c r="F840" s="54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  <c r="AA840" s="55"/>
    </row>
    <row r="841">
      <c r="A841" s="54"/>
      <c r="B841" s="55"/>
      <c r="C841" s="55"/>
      <c r="D841" s="56"/>
      <c r="E841" s="55"/>
      <c r="F841" s="54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  <c r="AA841" s="55"/>
    </row>
    <row r="842">
      <c r="A842" s="54"/>
      <c r="B842" s="55"/>
      <c r="C842" s="55"/>
      <c r="D842" s="56"/>
      <c r="E842" s="55"/>
      <c r="F842" s="54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  <c r="AA842" s="55"/>
    </row>
    <row r="843">
      <c r="A843" s="54"/>
      <c r="B843" s="55"/>
      <c r="C843" s="55"/>
      <c r="D843" s="56"/>
      <c r="E843" s="55"/>
      <c r="F843" s="54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  <c r="AA843" s="55"/>
    </row>
    <row r="844">
      <c r="A844" s="54"/>
      <c r="B844" s="55"/>
      <c r="C844" s="55"/>
      <c r="D844" s="56"/>
      <c r="E844" s="55"/>
      <c r="F844" s="54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  <c r="AA844" s="55"/>
    </row>
    <row r="845">
      <c r="A845" s="54"/>
      <c r="B845" s="55"/>
      <c r="C845" s="55"/>
      <c r="D845" s="56"/>
      <c r="E845" s="55"/>
      <c r="F845" s="54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  <c r="AA845" s="55"/>
    </row>
    <row r="846">
      <c r="A846" s="54"/>
      <c r="B846" s="55"/>
      <c r="C846" s="55"/>
      <c r="D846" s="56"/>
      <c r="E846" s="55"/>
      <c r="F846" s="54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  <c r="AA846" s="55"/>
    </row>
    <row r="847">
      <c r="A847" s="54"/>
      <c r="B847" s="55"/>
      <c r="C847" s="55"/>
      <c r="D847" s="56"/>
      <c r="E847" s="55"/>
      <c r="F847" s="54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  <c r="AA847" s="55"/>
    </row>
    <row r="848">
      <c r="A848" s="54"/>
      <c r="B848" s="55"/>
      <c r="C848" s="55"/>
      <c r="D848" s="56"/>
      <c r="E848" s="55"/>
      <c r="F848" s="54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  <c r="AA848" s="55"/>
    </row>
    <row r="849">
      <c r="A849" s="54"/>
      <c r="B849" s="55"/>
      <c r="C849" s="55"/>
      <c r="D849" s="56"/>
      <c r="E849" s="55"/>
      <c r="F849" s="54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  <c r="AA849" s="55"/>
    </row>
    <row r="850">
      <c r="A850" s="54"/>
      <c r="B850" s="55"/>
      <c r="C850" s="55"/>
      <c r="D850" s="56"/>
      <c r="E850" s="55"/>
      <c r="F850" s="54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  <c r="AA850" s="55"/>
    </row>
    <row r="851">
      <c r="A851" s="54"/>
      <c r="B851" s="55"/>
      <c r="C851" s="55"/>
      <c r="D851" s="56"/>
      <c r="E851" s="55"/>
      <c r="F851" s="54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  <c r="AA851" s="55"/>
    </row>
    <row r="852">
      <c r="A852" s="54"/>
      <c r="B852" s="55"/>
      <c r="C852" s="55"/>
      <c r="D852" s="56"/>
      <c r="E852" s="55"/>
      <c r="F852" s="54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  <c r="AA852" s="55"/>
    </row>
    <row r="853">
      <c r="A853" s="54"/>
      <c r="B853" s="55"/>
      <c r="C853" s="55"/>
      <c r="D853" s="56"/>
      <c r="E853" s="55"/>
      <c r="F853" s="54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  <c r="AA853" s="55"/>
    </row>
    <row r="854">
      <c r="A854" s="54"/>
      <c r="B854" s="55"/>
      <c r="C854" s="55"/>
      <c r="D854" s="56"/>
      <c r="E854" s="55"/>
      <c r="F854" s="54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  <c r="AA854" s="55"/>
    </row>
    <row r="855">
      <c r="A855" s="54"/>
      <c r="B855" s="55"/>
      <c r="C855" s="55"/>
      <c r="D855" s="56"/>
      <c r="E855" s="55"/>
      <c r="F855" s="54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  <c r="AA855" s="55"/>
    </row>
    <row r="856">
      <c r="A856" s="54"/>
      <c r="B856" s="55"/>
      <c r="C856" s="55"/>
      <c r="D856" s="56"/>
      <c r="E856" s="55"/>
      <c r="F856" s="54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  <c r="AA856" s="55"/>
    </row>
    <row r="857">
      <c r="A857" s="54"/>
      <c r="B857" s="55"/>
      <c r="C857" s="55"/>
      <c r="D857" s="56"/>
      <c r="E857" s="55"/>
      <c r="F857" s="54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  <c r="AA857" s="55"/>
    </row>
    <row r="858">
      <c r="A858" s="54"/>
      <c r="B858" s="55"/>
      <c r="C858" s="55"/>
      <c r="D858" s="56"/>
      <c r="E858" s="55"/>
      <c r="F858" s="54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  <c r="AA858" s="55"/>
    </row>
    <row r="859">
      <c r="A859" s="54"/>
      <c r="B859" s="55"/>
      <c r="C859" s="55"/>
      <c r="D859" s="56"/>
      <c r="E859" s="55"/>
      <c r="F859" s="54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  <c r="AA859" s="55"/>
    </row>
    <row r="860">
      <c r="A860" s="54"/>
      <c r="B860" s="55"/>
      <c r="C860" s="55"/>
      <c r="D860" s="56"/>
      <c r="E860" s="55"/>
      <c r="F860" s="54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  <c r="AA860" s="55"/>
    </row>
    <row r="861">
      <c r="A861" s="54"/>
      <c r="B861" s="55"/>
      <c r="C861" s="55"/>
      <c r="D861" s="56"/>
      <c r="E861" s="55"/>
      <c r="F861" s="54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  <c r="AA861" s="55"/>
    </row>
    <row r="862">
      <c r="A862" s="54"/>
      <c r="B862" s="55"/>
      <c r="C862" s="55"/>
      <c r="D862" s="56"/>
      <c r="E862" s="55"/>
      <c r="F862" s="54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  <c r="AA862" s="55"/>
    </row>
    <row r="863">
      <c r="A863" s="54"/>
      <c r="B863" s="55"/>
      <c r="C863" s="55"/>
      <c r="D863" s="56"/>
      <c r="E863" s="55"/>
      <c r="F863" s="54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  <c r="AA863" s="55"/>
    </row>
    <row r="864">
      <c r="A864" s="54"/>
      <c r="B864" s="55"/>
      <c r="C864" s="55"/>
      <c r="D864" s="56"/>
      <c r="E864" s="55"/>
      <c r="F864" s="54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  <c r="AA864" s="55"/>
    </row>
    <row r="865">
      <c r="A865" s="54"/>
      <c r="B865" s="55"/>
      <c r="C865" s="55"/>
      <c r="D865" s="56"/>
      <c r="E865" s="55"/>
      <c r="F865" s="54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  <c r="AA865" s="55"/>
    </row>
    <row r="866">
      <c r="A866" s="54"/>
      <c r="B866" s="55"/>
      <c r="C866" s="55"/>
      <c r="D866" s="56"/>
      <c r="E866" s="55"/>
      <c r="F866" s="54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  <c r="AA866" s="55"/>
    </row>
    <row r="867">
      <c r="A867" s="54"/>
      <c r="B867" s="55"/>
      <c r="C867" s="55"/>
      <c r="D867" s="56"/>
      <c r="E867" s="55"/>
      <c r="F867" s="54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  <c r="AA867" s="55"/>
    </row>
    <row r="868">
      <c r="A868" s="54"/>
      <c r="B868" s="55"/>
      <c r="C868" s="55"/>
      <c r="D868" s="56"/>
      <c r="E868" s="55"/>
      <c r="F868" s="54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  <c r="AA868" s="55"/>
    </row>
    <row r="869">
      <c r="A869" s="54"/>
      <c r="B869" s="55"/>
      <c r="C869" s="55"/>
      <c r="D869" s="56"/>
      <c r="E869" s="55"/>
      <c r="F869" s="54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  <c r="AA869" s="55"/>
    </row>
    <row r="870">
      <c r="A870" s="54"/>
      <c r="B870" s="55"/>
      <c r="C870" s="55"/>
      <c r="D870" s="56"/>
      <c r="E870" s="55"/>
      <c r="F870" s="54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  <c r="AA870" s="55"/>
    </row>
    <row r="871">
      <c r="A871" s="54"/>
      <c r="B871" s="55"/>
      <c r="C871" s="55"/>
      <c r="D871" s="56"/>
      <c r="E871" s="55"/>
      <c r="F871" s="54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  <c r="AA871" s="55"/>
    </row>
    <row r="872">
      <c r="A872" s="54"/>
      <c r="B872" s="55"/>
      <c r="C872" s="55"/>
      <c r="D872" s="56"/>
      <c r="E872" s="55"/>
      <c r="F872" s="54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  <c r="AA872" s="55"/>
    </row>
    <row r="873">
      <c r="A873" s="54"/>
      <c r="B873" s="55"/>
      <c r="C873" s="55"/>
      <c r="D873" s="56"/>
      <c r="E873" s="55"/>
      <c r="F873" s="54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  <c r="AA873" s="55"/>
    </row>
    <row r="874">
      <c r="A874" s="54"/>
      <c r="B874" s="55"/>
      <c r="C874" s="55"/>
      <c r="D874" s="56"/>
      <c r="E874" s="55"/>
      <c r="F874" s="54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  <c r="AA874" s="55"/>
    </row>
    <row r="875">
      <c r="A875" s="54"/>
      <c r="B875" s="55"/>
      <c r="C875" s="55"/>
      <c r="D875" s="56"/>
      <c r="E875" s="55"/>
      <c r="F875" s="54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  <c r="AA875" s="55"/>
    </row>
    <row r="876">
      <c r="A876" s="54"/>
      <c r="B876" s="55"/>
      <c r="C876" s="55"/>
      <c r="D876" s="56"/>
      <c r="E876" s="55"/>
      <c r="F876" s="54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  <c r="AA876" s="55"/>
    </row>
    <row r="877">
      <c r="A877" s="54"/>
      <c r="B877" s="55"/>
      <c r="C877" s="55"/>
      <c r="D877" s="56"/>
      <c r="E877" s="55"/>
      <c r="F877" s="54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  <c r="AA877" s="55"/>
    </row>
    <row r="878">
      <c r="A878" s="54"/>
      <c r="B878" s="55"/>
      <c r="C878" s="55"/>
      <c r="D878" s="56"/>
      <c r="E878" s="55"/>
      <c r="F878" s="54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  <c r="AA878" s="55"/>
    </row>
    <row r="879">
      <c r="A879" s="54"/>
      <c r="B879" s="55"/>
      <c r="C879" s="55"/>
      <c r="D879" s="56"/>
      <c r="E879" s="55"/>
      <c r="F879" s="54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  <c r="AA879" s="55"/>
    </row>
    <row r="880">
      <c r="A880" s="54"/>
      <c r="B880" s="55"/>
      <c r="C880" s="55"/>
      <c r="D880" s="56"/>
      <c r="E880" s="55"/>
      <c r="F880" s="54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  <c r="AA880" s="55"/>
    </row>
    <row r="881">
      <c r="A881" s="57"/>
      <c r="B881" s="58"/>
      <c r="C881" s="58"/>
      <c r="D881" s="59"/>
      <c r="E881" s="58"/>
      <c r="F881" s="60"/>
      <c r="G881" s="55"/>
      <c r="H881" s="55"/>
      <c r="I881" s="55"/>
      <c r="J881" s="55"/>
      <c r="K881" s="55"/>
      <c r="L881" s="55"/>
      <c r="M881" s="58"/>
      <c r="N881" s="58"/>
      <c r="O881" s="58"/>
      <c r="P881" s="58"/>
      <c r="Q881" s="58"/>
      <c r="R881" s="61"/>
      <c r="S881" s="55"/>
      <c r="T881" s="55"/>
      <c r="U881" s="55"/>
      <c r="V881" s="55"/>
      <c r="W881" s="55"/>
      <c r="X881" s="55"/>
      <c r="Y881" s="55"/>
      <c r="Z881" s="55"/>
      <c r="AA881" s="55"/>
    </row>
    <row r="882">
      <c r="A882" s="62"/>
      <c r="B882" s="63"/>
      <c r="C882" s="63"/>
      <c r="D882" s="64"/>
      <c r="E882" s="55"/>
      <c r="F882" s="65"/>
      <c r="G882" s="55"/>
      <c r="H882" s="55"/>
      <c r="I882" s="55"/>
      <c r="J882" s="55"/>
      <c r="K882" s="55"/>
      <c r="L882" s="55"/>
      <c r="M882" s="66"/>
      <c r="N882" s="63"/>
      <c r="O882" s="63"/>
      <c r="P882" s="67"/>
      <c r="Q882" s="55"/>
      <c r="R882" s="63"/>
      <c r="S882" s="55"/>
      <c r="T882" s="55"/>
      <c r="U882" s="55"/>
      <c r="V882" s="55"/>
      <c r="W882" s="55"/>
      <c r="X882" s="55"/>
      <c r="Y882" s="55"/>
      <c r="Z882" s="55"/>
      <c r="AA882" s="55"/>
    </row>
    <row r="883">
      <c r="A883" s="68"/>
      <c r="B883" s="69"/>
      <c r="C883" s="69"/>
      <c r="D883" s="70"/>
      <c r="E883" s="71"/>
      <c r="F883" s="72"/>
      <c r="G883" s="55"/>
      <c r="H883" s="55"/>
      <c r="I883" s="55"/>
      <c r="J883" s="55"/>
      <c r="K883" s="55"/>
      <c r="L883" s="55"/>
      <c r="M883" s="73"/>
      <c r="N883" s="69"/>
      <c r="O883" s="69"/>
      <c r="P883" s="74"/>
      <c r="Q883" s="71"/>
      <c r="R883" s="69"/>
      <c r="S883" s="55"/>
      <c r="T883" s="55"/>
      <c r="U883" s="55"/>
      <c r="V883" s="55"/>
      <c r="W883" s="55"/>
      <c r="X883" s="55"/>
      <c r="Y883" s="55"/>
      <c r="Z883" s="55"/>
      <c r="AA883" s="55"/>
    </row>
    <row r="884">
      <c r="A884" s="62"/>
      <c r="B884" s="63"/>
      <c r="C884" s="63"/>
      <c r="D884" s="64"/>
      <c r="E884" s="55"/>
      <c r="F884" s="65"/>
      <c r="G884" s="55"/>
      <c r="H884" s="55"/>
      <c r="I884" s="55"/>
      <c r="J884" s="55"/>
      <c r="K884" s="55"/>
      <c r="L884" s="55"/>
      <c r="M884" s="66"/>
      <c r="N884" s="63"/>
      <c r="O884" s="63"/>
      <c r="P884" s="67"/>
      <c r="Q884" s="55"/>
      <c r="R884" s="63"/>
      <c r="S884" s="55"/>
      <c r="T884" s="55"/>
      <c r="U884" s="55"/>
      <c r="V884" s="55"/>
      <c r="W884" s="55"/>
      <c r="X884" s="55"/>
      <c r="Y884" s="55"/>
      <c r="Z884" s="55"/>
      <c r="AA884" s="55"/>
    </row>
    <row r="885">
      <c r="A885" s="62"/>
      <c r="B885" s="63"/>
      <c r="C885" s="63"/>
      <c r="D885" s="64"/>
      <c r="E885" s="55"/>
      <c r="F885" s="65"/>
      <c r="G885" s="55"/>
      <c r="H885" s="55"/>
      <c r="I885" s="55"/>
      <c r="J885" s="55"/>
      <c r="K885" s="55"/>
      <c r="L885" s="55"/>
      <c r="M885" s="66"/>
      <c r="N885" s="63"/>
      <c r="O885" s="63"/>
      <c r="P885" s="67"/>
      <c r="Q885" s="55"/>
      <c r="R885" s="63"/>
      <c r="S885" s="55"/>
      <c r="T885" s="55"/>
      <c r="U885" s="55"/>
      <c r="V885" s="55"/>
      <c r="W885" s="55"/>
      <c r="X885" s="55"/>
      <c r="Y885" s="55"/>
      <c r="Z885" s="55"/>
      <c r="AA885" s="55"/>
    </row>
    <row r="886">
      <c r="A886" s="62"/>
      <c r="B886" s="63"/>
      <c r="C886" s="63"/>
      <c r="D886" s="64"/>
      <c r="E886" s="55"/>
      <c r="F886" s="65"/>
      <c r="G886" s="55"/>
      <c r="H886" s="55"/>
      <c r="I886" s="55"/>
      <c r="J886" s="55"/>
      <c r="K886" s="55"/>
      <c r="L886" s="55"/>
      <c r="M886" s="66"/>
      <c r="N886" s="63"/>
      <c r="O886" s="63"/>
      <c r="P886" s="67"/>
      <c r="Q886" s="55"/>
      <c r="R886" s="63"/>
      <c r="S886" s="55"/>
      <c r="T886" s="55"/>
      <c r="U886" s="55"/>
      <c r="V886" s="55"/>
      <c r="W886" s="55"/>
      <c r="X886" s="55"/>
      <c r="Y886" s="55"/>
      <c r="Z886" s="55"/>
      <c r="AA886" s="55"/>
    </row>
    <row r="887">
      <c r="A887" s="62"/>
      <c r="B887" s="63"/>
      <c r="C887" s="63"/>
      <c r="D887" s="64"/>
      <c r="E887" s="55"/>
      <c r="F887" s="65"/>
      <c r="G887" s="55"/>
      <c r="H887" s="55"/>
      <c r="I887" s="55"/>
      <c r="J887" s="55"/>
      <c r="K887" s="55"/>
      <c r="L887" s="55"/>
      <c r="M887" s="66"/>
      <c r="N887" s="63"/>
      <c r="O887" s="63"/>
      <c r="P887" s="67"/>
      <c r="Q887" s="55"/>
      <c r="R887" s="63"/>
      <c r="S887" s="55"/>
      <c r="T887" s="55"/>
      <c r="U887" s="55"/>
      <c r="V887" s="55"/>
      <c r="W887" s="55"/>
      <c r="X887" s="55"/>
      <c r="Y887" s="55"/>
      <c r="Z887" s="55"/>
      <c r="AA887" s="55"/>
    </row>
    <row r="888">
      <c r="A888" s="62"/>
      <c r="B888" s="63"/>
      <c r="C888" s="63"/>
      <c r="D888" s="64"/>
      <c r="E888" s="55"/>
      <c r="F888" s="65"/>
      <c r="G888" s="55"/>
      <c r="H888" s="55"/>
      <c r="I888" s="55"/>
      <c r="J888" s="55"/>
      <c r="K888" s="55"/>
      <c r="L888" s="55"/>
      <c r="M888" s="66"/>
      <c r="N888" s="63"/>
      <c r="O888" s="63"/>
      <c r="P888" s="67"/>
      <c r="Q888" s="55"/>
      <c r="R888" s="63"/>
      <c r="S888" s="55"/>
      <c r="T888" s="55"/>
      <c r="U888" s="55"/>
      <c r="V888" s="55"/>
      <c r="W888" s="55"/>
      <c r="X888" s="55"/>
      <c r="Y888" s="55"/>
      <c r="Z888" s="55"/>
      <c r="AA888" s="55"/>
    </row>
    <row r="889">
      <c r="A889" s="62"/>
      <c r="B889" s="63"/>
      <c r="C889" s="63"/>
      <c r="D889" s="64"/>
      <c r="E889" s="55"/>
      <c r="F889" s="65"/>
      <c r="G889" s="55"/>
      <c r="H889" s="55"/>
      <c r="I889" s="55"/>
      <c r="J889" s="55"/>
      <c r="K889" s="55"/>
      <c r="L889" s="55"/>
      <c r="M889" s="66"/>
      <c r="N889" s="63"/>
      <c r="O889" s="63"/>
      <c r="P889" s="67"/>
      <c r="Q889" s="55"/>
      <c r="R889" s="63"/>
      <c r="S889" s="55"/>
      <c r="T889" s="55"/>
      <c r="U889" s="55"/>
      <c r="V889" s="55"/>
      <c r="W889" s="55"/>
      <c r="X889" s="55"/>
      <c r="Y889" s="55"/>
      <c r="Z889" s="55"/>
      <c r="AA889" s="55"/>
    </row>
    <row r="890">
      <c r="A890" s="62"/>
      <c r="B890" s="63"/>
      <c r="C890" s="63"/>
      <c r="D890" s="64"/>
      <c r="E890" s="55"/>
      <c r="F890" s="65"/>
      <c r="G890" s="55"/>
      <c r="H890" s="55"/>
      <c r="I890" s="55"/>
      <c r="J890" s="55"/>
      <c r="K890" s="55"/>
      <c r="L890" s="55"/>
      <c r="M890" s="66"/>
      <c r="N890" s="63"/>
      <c r="O890" s="63"/>
      <c r="P890" s="67"/>
      <c r="Q890" s="55"/>
      <c r="R890" s="63"/>
      <c r="S890" s="55"/>
      <c r="T890" s="55"/>
      <c r="U890" s="55"/>
      <c r="V890" s="55"/>
      <c r="W890" s="55"/>
      <c r="X890" s="55"/>
      <c r="Y890" s="55"/>
      <c r="Z890" s="55"/>
      <c r="AA890" s="55"/>
    </row>
    <row r="891">
      <c r="A891" s="54"/>
      <c r="B891" s="55"/>
      <c r="C891" s="55"/>
      <c r="D891" s="56"/>
      <c r="E891" s="55"/>
      <c r="F891" s="54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  <c r="AA891" s="55"/>
    </row>
    <row r="892">
      <c r="A892" s="54"/>
      <c r="B892" s="55"/>
      <c r="C892" s="55"/>
      <c r="D892" s="56"/>
      <c r="E892" s="55"/>
      <c r="F892" s="54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  <c r="AA892" s="55"/>
    </row>
    <row r="893">
      <c r="A893" s="54"/>
      <c r="B893" s="55"/>
      <c r="C893" s="55"/>
      <c r="D893" s="56"/>
      <c r="E893" s="55"/>
      <c r="F893" s="54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  <c r="AA893" s="55"/>
    </row>
    <row r="894">
      <c r="A894" s="54"/>
      <c r="B894" s="55"/>
      <c r="C894" s="55"/>
      <c r="D894" s="56"/>
      <c r="E894" s="55"/>
      <c r="F894" s="54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  <c r="AA894" s="55"/>
    </row>
    <row r="895">
      <c r="A895" s="54"/>
      <c r="B895" s="55"/>
      <c r="C895" s="55"/>
      <c r="D895" s="56"/>
      <c r="E895" s="55"/>
      <c r="F895" s="54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  <c r="AA895" s="55"/>
    </row>
    <row r="896">
      <c r="A896" s="54"/>
      <c r="B896" s="55"/>
      <c r="C896" s="55"/>
      <c r="D896" s="56"/>
      <c r="E896" s="55"/>
      <c r="F896" s="54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  <c r="AA896" s="55"/>
    </row>
    <row r="897">
      <c r="A897" s="54"/>
      <c r="B897" s="55"/>
      <c r="C897" s="55"/>
      <c r="D897" s="56"/>
      <c r="E897" s="55"/>
      <c r="F897" s="54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  <c r="AA897" s="55"/>
    </row>
    <row r="898">
      <c r="A898" s="54"/>
      <c r="B898" s="55"/>
      <c r="C898" s="55"/>
      <c r="D898" s="56"/>
      <c r="E898" s="55"/>
      <c r="F898" s="54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  <c r="AA898" s="55"/>
    </row>
    <row r="899">
      <c r="A899" s="54"/>
      <c r="B899" s="55"/>
      <c r="C899" s="55"/>
      <c r="D899" s="56"/>
      <c r="E899" s="55"/>
      <c r="F899" s="54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  <c r="AA899" s="55"/>
    </row>
    <row r="900">
      <c r="A900" s="54"/>
      <c r="B900" s="55"/>
      <c r="C900" s="55"/>
      <c r="D900" s="56"/>
      <c r="E900" s="55"/>
      <c r="F900" s="54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  <c r="AA900" s="55"/>
    </row>
    <row r="901">
      <c r="A901" s="54"/>
      <c r="B901" s="55"/>
      <c r="C901" s="55"/>
      <c r="D901" s="56"/>
      <c r="E901" s="55"/>
      <c r="F901" s="54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  <c r="AA901" s="55"/>
    </row>
    <row r="902">
      <c r="A902" s="54"/>
      <c r="B902" s="55"/>
      <c r="C902" s="55"/>
      <c r="D902" s="56"/>
      <c r="E902" s="55"/>
      <c r="F902" s="54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  <c r="AA902" s="55"/>
    </row>
    <row r="903">
      <c r="A903" s="54"/>
      <c r="B903" s="55"/>
      <c r="C903" s="55"/>
      <c r="D903" s="56"/>
      <c r="E903" s="55"/>
      <c r="F903" s="54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  <c r="AA903" s="55"/>
    </row>
    <row r="904">
      <c r="A904" s="54"/>
      <c r="B904" s="55"/>
      <c r="C904" s="55"/>
      <c r="D904" s="56"/>
      <c r="E904" s="55"/>
      <c r="F904" s="54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  <c r="AA904" s="55"/>
    </row>
    <row r="905">
      <c r="A905" s="54"/>
      <c r="B905" s="55"/>
      <c r="C905" s="55"/>
      <c r="D905" s="56"/>
      <c r="E905" s="55"/>
      <c r="F905" s="54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  <c r="AA905" s="55"/>
    </row>
    <row r="906">
      <c r="A906" s="54"/>
      <c r="B906" s="55"/>
      <c r="C906" s="55"/>
      <c r="D906" s="56"/>
      <c r="E906" s="55"/>
      <c r="F906" s="54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  <c r="AA906" s="55"/>
    </row>
    <row r="907">
      <c r="A907" s="54"/>
      <c r="B907" s="55"/>
      <c r="C907" s="55"/>
      <c r="D907" s="56"/>
      <c r="E907" s="55"/>
      <c r="F907" s="54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  <c r="AA907" s="55"/>
    </row>
    <row r="908">
      <c r="A908" s="54"/>
      <c r="B908" s="55"/>
      <c r="C908" s="55"/>
      <c r="D908" s="56"/>
      <c r="E908" s="55"/>
      <c r="F908" s="54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  <c r="AA908" s="55"/>
    </row>
    <row r="909">
      <c r="A909" s="54"/>
      <c r="B909" s="55"/>
      <c r="C909" s="55"/>
      <c r="D909" s="56"/>
      <c r="E909" s="55"/>
      <c r="F909" s="54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  <c r="AA909" s="55"/>
    </row>
    <row r="910">
      <c r="A910" s="54"/>
      <c r="B910" s="55"/>
      <c r="C910" s="55"/>
      <c r="D910" s="56"/>
      <c r="E910" s="55"/>
      <c r="F910" s="54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  <c r="AA910" s="55"/>
    </row>
    <row r="911">
      <c r="A911" s="54"/>
      <c r="B911" s="55"/>
      <c r="C911" s="55"/>
      <c r="D911" s="56"/>
      <c r="E911" s="55"/>
      <c r="F911" s="54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  <c r="AA911" s="55"/>
    </row>
    <row r="912">
      <c r="A912" s="54"/>
      <c r="B912" s="55"/>
      <c r="C912" s="55"/>
      <c r="D912" s="56"/>
      <c r="E912" s="55"/>
      <c r="F912" s="54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  <c r="AA912" s="55"/>
    </row>
    <row r="913">
      <c r="A913" s="54"/>
      <c r="B913" s="55"/>
      <c r="C913" s="55"/>
      <c r="D913" s="56"/>
      <c r="E913" s="55"/>
      <c r="F913" s="54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  <c r="AA913" s="55"/>
    </row>
    <row r="914">
      <c r="A914" s="54"/>
      <c r="B914" s="55"/>
      <c r="C914" s="55"/>
      <c r="D914" s="56"/>
      <c r="E914" s="55"/>
      <c r="F914" s="54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  <c r="AA914" s="55"/>
    </row>
    <row r="915">
      <c r="A915" s="54"/>
      <c r="B915" s="55"/>
      <c r="C915" s="55"/>
      <c r="D915" s="56"/>
      <c r="E915" s="55"/>
      <c r="F915" s="54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  <c r="AA915" s="55"/>
    </row>
    <row r="916">
      <c r="A916" s="54"/>
      <c r="B916" s="55"/>
      <c r="C916" s="55"/>
      <c r="D916" s="56"/>
      <c r="E916" s="55"/>
      <c r="F916" s="54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  <c r="AA916" s="55"/>
    </row>
    <row r="917">
      <c r="A917" s="54"/>
      <c r="B917" s="55"/>
      <c r="C917" s="55"/>
      <c r="D917" s="56"/>
      <c r="E917" s="55"/>
      <c r="F917" s="54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  <c r="AA917" s="55"/>
    </row>
    <row r="918">
      <c r="A918" s="54"/>
      <c r="B918" s="55"/>
      <c r="C918" s="55"/>
      <c r="D918" s="56"/>
      <c r="E918" s="55"/>
      <c r="F918" s="54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  <c r="AA918" s="55"/>
    </row>
    <row r="919">
      <c r="A919" s="54"/>
      <c r="B919" s="55"/>
      <c r="C919" s="55"/>
      <c r="D919" s="56"/>
      <c r="E919" s="55"/>
      <c r="F919" s="54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  <c r="AA919" s="55"/>
    </row>
    <row r="920">
      <c r="A920" s="54"/>
      <c r="B920" s="55"/>
      <c r="C920" s="55"/>
      <c r="D920" s="56"/>
      <c r="E920" s="55"/>
      <c r="F920" s="54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  <c r="AA920" s="55"/>
    </row>
    <row r="921">
      <c r="A921" s="54"/>
      <c r="B921" s="55"/>
      <c r="C921" s="55"/>
      <c r="D921" s="56"/>
      <c r="E921" s="55"/>
      <c r="F921" s="54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  <c r="AA921" s="55"/>
    </row>
    <row r="922">
      <c r="A922" s="54"/>
      <c r="B922" s="55"/>
      <c r="C922" s="55"/>
      <c r="D922" s="56"/>
      <c r="E922" s="55"/>
      <c r="F922" s="54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  <c r="AA922" s="55"/>
    </row>
    <row r="923">
      <c r="A923" s="54"/>
      <c r="B923" s="55"/>
      <c r="C923" s="55"/>
      <c r="D923" s="56"/>
      <c r="E923" s="55"/>
      <c r="F923" s="54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  <c r="AA923" s="55"/>
    </row>
    <row r="924">
      <c r="A924" s="54"/>
      <c r="B924" s="55"/>
      <c r="C924" s="55"/>
      <c r="D924" s="56"/>
      <c r="E924" s="55"/>
      <c r="F924" s="54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  <c r="AA924" s="55"/>
    </row>
    <row r="925">
      <c r="A925" s="54"/>
      <c r="B925" s="55"/>
      <c r="C925" s="55"/>
      <c r="D925" s="56"/>
      <c r="E925" s="55"/>
      <c r="F925" s="54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  <c r="AA925" s="55"/>
    </row>
    <row r="926">
      <c r="A926" s="54"/>
      <c r="B926" s="55"/>
      <c r="C926" s="55"/>
      <c r="D926" s="56"/>
      <c r="E926" s="55"/>
      <c r="F926" s="54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  <c r="AA926" s="55"/>
    </row>
    <row r="927">
      <c r="A927" s="54"/>
      <c r="B927" s="55"/>
      <c r="C927" s="55"/>
      <c r="D927" s="56"/>
      <c r="E927" s="55"/>
      <c r="F927" s="54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  <c r="AA927" s="55"/>
    </row>
    <row r="928">
      <c r="A928" s="54"/>
      <c r="B928" s="55"/>
      <c r="C928" s="55"/>
      <c r="D928" s="56"/>
      <c r="E928" s="55"/>
      <c r="F928" s="54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  <c r="AA928" s="55"/>
    </row>
    <row r="929">
      <c r="A929" s="54"/>
      <c r="B929" s="55"/>
      <c r="C929" s="55"/>
      <c r="D929" s="56"/>
      <c r="E929" s="55"/>
      <c r="F929" s="54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  <c r="AA929" s="55"/>
    </row>
    <row r="930">
      <c r="A930" s="54"/>
      <c r="B930" s="55"/>
      <c r="C930" s="55"/>
      <c r="D930" s="56"/>
      <c r="E930" s="55"/>
      <c r="F930" s="54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  <c r="AA930" s="55"/>
    </row>
    <row r="931">
      <c r="A931" s="54"/>
      <c r="B931" s="55"/>
      <c r="C931" s="55"/>
      <c r="D931" s="56"/>
      <c r="E931" s="55"/>
      <c r="F931" s="54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  <c r="AA931" s="55"/>
    </row>
    <row r="932">
      <c r="A932" s="54"/>
      <c r="B932" s="55"/>
      <c r="C932" s="55"/>
      <c r="D932" s="56"/>
      <c r="E932" s="55"/>
      <c r="F932" s="54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  <c r="AA932" s="55"/>
    </row>
    <row r="933">
      <c r="A933" s="54"/>
      <c r="B933" s="55"/>
      <c r="C933" s="55"/>
      <c r="D933" s="56"/>
      <c r="E933" s="55"/>
      <c r="F933" s="54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  <c r="AA933" s="55"/>
    </row>
    <row r="934">
      <c r="A934" s="54"/>
      <c r="B934" s="55"/>
      <c r="C934" s="55"/>
      <c r="D934" s="56"/>
      <c r="E934" s="55"/>
      <c r="F934" s="54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  <c r="AA934" s="55"/>
    </row>
    <row r="935">
      <c r="A935" s="54"/>
      <c r="B935" s="55"/>
      <c r="C935" s="55"/>
      <c r="D935" s="56"/>
      <c r="E935" s="55"/>
      <c r="F935" s="54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  <c r="AA935" s="55"/>
    </row>
    <row r="936">
      <c r="A936" s="54"/>
      <c r="B936" s="55"/>
      <c r="C936" s="55"/>
      <c r="D936" s="56"/>
      <c r="E936" s="55"/>
      <c r="F936" s="54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  <c r="AA936" s="55"/>
    </row>
    <row r="937">
      <c r="A937" s="54"/>
      <c r="B937" s="55"/>
      <c r="C937" s="55"/>
      <c r="D937" s="56"/>
      <c r="E937" s="55"/>
      <c r="F937" s="54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  <c r="AA937" s="55"/>
    </row>
    <row r="938">
      <c r="A938" s="54"/>
      <c r="B938" s="55"/>
      <c r="C938" s="55"/>
      <c r="D938" s="56"/>
      <c r="E938" s="55"/>
      <c r="F938" s="54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  <c r="AA938" s="55"/>
    </row>
    <row r="939">
      <c r="A939" s="54"/>
      <c r="B939" s="55"/>
      <c r="C939" s="55"/>
      <c r="D939" s="56"/>
      <c r="E939" s="55"/>
      <c r="F939" s="54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  <c r="AA939" s="55"/>
    </row>
    <row r="940">
      <c r="A940" s="54"/>
      <c r="B940" s="55"/>
      <c r="C940" s="55"/>
      <c r="D940" s="56"/>
      <c r="E940" s="55"/>
      <c r="F940" s="54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  <c r="AA940" s="55"/>
    </row>
    <row r="941">
      <c r="A941" s="54"/>
      <c r="B941" s="55"/>
      <c r="C941" s="55"/>
      <c r="D941" s="56"/>
      <c r="E941" s="55"/>
      <c r="F941" s="54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  <c r="AA941" s="55"/>
    </row>
    <row r="942">
      <c r="A942" s="54"/>
      <c r="B942" s="55"/>
      <c r="C942" s="55"/>
      <c r="D942" s="56"/>
      <c r="E942" s="55"/>
      <c r="F942" s="54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  <c r="AA942" s="55"/>
    </row>
    <row r="943">
      <c r="A943" s="54"/>
      <c r="B943" s="55"/>
      <c r="C943" s="55"/>
      <c r="D943" s="56"/>
      <c r="E943" s="55"/>
      <c r="F943" s="54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  <c r="AA943" s="55"/>
    </row>
    <row r="944">
      <c r="A944" s="54"/>
      <c r="B944" s="55"/>
      <c r="C944" s="55"/>
      <c r="D944" s="56"/>
      <c r="E944" s="55"/>
      <c r="F944" s="54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  <c r="AA944" s="55"/>
    </row>
    <row r="945">
      <c r="A945" s="54"/>
      <c r="B945" s="55"/>
      <c r="C945" s="55"/>
      <c r="D945" s="56"/>
      <c r="E945" s="55"/>
      <c r="F945" s="54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  <c r="AA945" s="55"/>
    </row>
    <row r="946">
      <c r="A946" s="54"/>
      <c r="B946" s="55"/>
      <c r="C946" s="55"/>
      <c r="D946" s="56"/>
      <c r="E946" s="55"/>
      <c r="F946" s="54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  <c r="AA946" s="55"/>
    </row>
    <row r="947">
      <c r="A947" s="54"/>
      <c r="B947" s="55"/>
      <c r="C947" s="55"/>
      <c r="D947" s="56"/>
      <c r="E947" s="55"/>
      <c r="F947" s="54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  <c r="AA947" s="55"/>
    </row>
    <row r="948">
      <c r="A948" s="54"/>
      <c r="B948" s="55"/>
      <c r="C948" s="55"/>
      <c r="D948" s="56"/>
      <c r="E948" s="55"/>
      <c r="F948" s="54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  <c r="AA948" s="55"/>
    </row>
    <row r="949">
      <c r="A949" s="54"/>
      <c r="B949" s="55"/>
      <c r="C949" s="55"/>
      <c r="D949" s="56"/>
      <c r="E949" s="55"/>
      <c r="F949" s="54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  <c r="AA949" s="55"/>
    </row>
    <row r="950">
      <c r="A950" s="54"/>
      <c r="B950" s="55"/>
      <c r="C950" s="55"/>
      <c r="D950" s="56"/>
      <c r="E950" s="55"/>
      <c r="F950" s="54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  <c r="AA950" s="55"/>
    </row>
    <row r="951">
      <c r="A951" s="54"/>
      <c r="B951" s="55"/>
      <c r="C951" s="55"/>
      <c r="D951" s="56"/>
      <c r="E951" s="55"/>
      <c r="F951" s="54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  <c r="AA951" s="55"/>
    </row>
    <row r="952">
      <c r="A952" s="54"/>
      <c r="B952" s="55"/>
      <c r="C952" s="55"/>
      <c r="D952" s="56"/>
      <c r="E952" s="55"/>
      <c r="F952" s="54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  <c r="AA952" s="55"/>
    </row>
    <row r="953">
      <c r="A953" s="54"/>
      <c r="B953" s="55"/>
      <c r="C953" s="55"/>
      <c r="D953" s="56"/>
      <c r="E953" s="55"/>
      <c r="F953" s="54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  <c r="AA953" s="55"/>
    </row>
    <row r="954">
      <c r="A954" s="54"/>
      <c r="B954" s="55"/>
      <c r="C954" s="55"/>
      <c r="D954" s="56"/>
      <c r="E954" s="55"/>
      <c r="F954" s="54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  <c r="AA954" s="55"/>
    </row>
    <row r="955">
      <c r="A955" s="54"/>
      <c r="B955" s="55"/>
      <c r="C955" s="55"/>
      <c r="D955" s="56"/>
      <c r="E955" s="55"/>
      <c r="F955" s="54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  <c r="AA955" s="55"/>
    </row>
    <row r="956">
      <c r="A956" s="54"/>
      <c r="B956" s="55"/>
      <c r="C956" s="55"/>
      <c r="D956" s="56"/>
      <c r="E956" s="55"/>
      <c r="F956" s="54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  <c r="AA956" s="55"/>
    </row>
    <row r="957">
      <c r="A957" s="54"/>
      <c r="B957" s="55"/>
      <c r="C957" s="55"/>
      <c r="D957" s="56"/>
      <c r="E957" s="55"/>
      <c r="F957" s="54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  <c r="AA957" s="55"/>
    </row>
    <row r="958">
      <c r="A958" s="54"/>
      <c r="B958" s="55"/>
      <c r="C958" s="55"/>
      <c r="D958" s="56"/>
      <c r="E958" s="55"/>
      <c r="F958" s="54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  <c r="AA958" s="55"/>
    </row>
    <row r="959">
      <c r="A959" s="54"/>
      <c r="B959" s="55"/>
      <c r="C959" s="55"/>
      <c r="D959" s="56"/>
      <c r="E959" s="55"/>
      <c r="F959" s="54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  <c r="AA959" s="55"/>
    </row>
    <row r="960">
      <c r="A960" s="54"/>
      <c r="B960" s="55"/>
      <c r="C960" s="55"/>
      <c r="D960" s="56"/>
      <c r="E960" s="55"/>
      <c r="F960" s="54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  <c r="AA960" s="55"/>
    </row>
    <row r="961">
      <c r="A961" s="54"/>
      <c r="B961" s="55"/>
      <c r="C961" s="55"/>
      <c r="D961" s="56"/>
      <c r="E961" s="55"/>
      <c r="F961" s="54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  <c r="AA961" s="55"/>
    </row>
    <row r="962">
      <c r="A962" s="54"/>
      <c r="B962" s="55"/>
      <c r="C962" s="55"/>
      <c r="D962" s="56"/>
      <c r="E962" s="55"/>
      <c r="F962" s="54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  <c r="AA962" s="55"/>
    </row>
    <row r="963">
      <c r="A963" s="54"/>
      <c r="B963" s="55"/>
      <c r="C963" s="55"/>
      <c r="D963" s="56"/>
      <c r="E963" s="55"/>
      <c r="F963" s="54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  <c r="AA963" s="55"/>
    </row>
    <row r="964">
      <c r="A964" s="54"/>
      <c r="B964" s="55"/>
      <c r="C964" s="55"/>
      <c r="D964" s="56"/>
      <c r="E964" s="55"/>
      <c r="F964" s="54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  <c r="AA964" s="55"/>
    </row>
    <row r="965">
      <c r="A965" s="54"/>
      <c r="B965" s="55"/>
      <c r="C965" s="55"/>
      <c r="D965" s="56"/>
      <c r="E965" s="55"/>
      <c r="F965" s="54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  <c r="AA965" s="55"/>
    </row>
    <row r="966">
      <c r="A966" s="54"/>
      <c r="B966" s="55"/>
      <c r="C966" s="55"/>
      <c r="D966" s="56"/>
      <c r="E966" s="55"/>
      <c r="F966" s="54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  <c r="AA966" s="55"/>
    </row>
    <row r="967">
      <c r="A967" s="54"/>
      <c r="B967" s="55"/>
      <c r="C967" s="55"/>
      <c r="D967" s="56"/>
      <c r="E967" s="55"/>
      <c r="F967" s="54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  <c r="AA967" s="55"/>
    </row>
    <row r="968">
      <c r="A968" s="54"/>
      <c r="B968" s="55"/>
      <c r="C968" s="55"/>
      <c r="D968" s="56"/>
      <c r="E968" s="55"/>
      <c r="F968" s="54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  <c r="AA968" s="55"/>
    </row>
    <row r="969">
      <c r="A969" s="54"/>
      <c r="B969" s="55"/>
      <c r="C969" s="55"/>
      <c r="D969" s="56"/>
      <c r="E969" s="55"/>
      <c r="F969" s="54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  <c r="AA969" s="55"/>
    </row>
    <row r="970">
      <c r="A970" s="54"/>
      <c r="B970" s="55"/>
      <c r="C970" s="55"/>
      <c r="D970" s="56"/>
      <c r="E970" s="55"/>
      <c r="F970" s="54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  <c r="AA970" s="55"/>
    </row>
    <row r="971">
      <c r="A971" s="54"/>
      <c r="B971" s="55"/>
      <c r="C971" s="55"/>
      <c r="D971" s="56"/>
      <c r="E971" s="55"/>
      <c r="F971" s="54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  <c r="AA971" s="55"/>
    </row>
    <row r="972">
      <c r="A972" s="54"/>
      <c r="B972" s="55"/>
      <c r="C972" s="55"/>
      <c r="D972" s="56"/>
      <c r="E972" s="55"/>
      <c r="F972" s="54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  <c r="AA972" s="55"/>
    </row>
    <row r="973">
      <c r="A973" s="54"/>
      <c r="B973" s="55"/>
      <c r="C973" s="55"/>
      <c r="D973" s="56"/>
      <c r="E973" s="55"/>
      <c r="F973" s="54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  <c r="AA973" s="55"/>
    </row>
    <row r="974">
      <c r="A974" s="54"/>
      <c r="B974" s="55"/>
      <c r="C974" s="55"/>
      <c r="D974" s="56"/>
      <c r="E974" s="55"/>
      <c r="F974" s="54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  <c r="AA974" s="55"/>
    </row>
    <row r="975">
      <c r="A975" s="54"/>
      <c r="B975" s="55"/>
      <c r="C975" s="55"/>
      <c r="D975" s="56"/>
      <c r="E975" s="55"/>
      <c r="F975" s="54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  <c r="AA975" s="55"/>
    </row>
    <row r="976">
      <c r="A976" s="54"/>
      <c r="B976" s="55"/>
      <c r="C976" s="55"/>
      <c r="D976" s="56"/>
      <c r="E976" s="55"/>
      <c r="F976" s="54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  <c r="AA976" s="55"/>
    </row>
    <row r="977">
      <c r="A977" s="54"/>
      <c r="B977" s="55"/>
      <c r="C977" s="55"/>
      <c r="D977" s="56"/>
      <c r="E977" s="55"/>
      <c r="F977" s="54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  <c r="AA977" s="55"/>
    </row>
    <row r="978">
      <c r="A978" s="54"/>
      <c r="B978" s="55"/>
      <c r="C978" s="55"/>
      <c r="D978" s="56"/>
      <c r="E978" s="55"/>
      <c r="F978" s="54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  <c r="AA978" s="55"/>
    </row>
    <row r="979">
      <c r="A979" s="54"/>
      <c r="B979" s="55"/>
      <c r="C979" s="55"/>
      <c r="D979" s="56"/>
      <c r="E979" s="55"/>
      <c r="F979" s="54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  <c r="AA979" s="55"/>
    </row>
    <row r="980">
      <c r="A980" s="54"/>
      <c r="B980" s="55"/>
      <c r="C980" s="55"/>
      <c r="D980" s="56"/>
      <c r="E980" s="55"/>
      <c r="F980" s="54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  <c r="AA980" s="55"/>
    </row>
    <row r="981">
      <c r="A981" s="54"/>
      <c r="B981" s="55"/>
      <c r="C981" s="55"/>
      <c r="D981" s="56"/>
      <c r="E981" s="55"/>
      <c r="F981" s="54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  <c r="AA981" s="55"/>
    </row>
    <row r="982">
      <c r="A982" s="54"/>
      <c r="B982" s="55"/>
      <c r="C982" s="55"/>
      <c r="D982" s="56"/>
      <c r="E982" s="55"/>
      <c r="F982" s="54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  <c r="AA982" s="55"/>
    </row>
    <row r="983">
      <c r="A983" s="54"/>
      <c r="B983" s="55"/>
      <c r="C983" s="55"/>
      <c r="D983" s="56"/>
      <c r="E983" s="55"/>
      <c r="F983" s="54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  <c r="AA983" s="55"/>
    </row>
    <row r="984">
      <c r="A984" s="54"/>
      <c r="B984" s="55"/>
      <c r="C984" s="55"/>
      <c r="D984" s="56"/>
      <c r="E984" s="55"/>
      <c r="F984" s="54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  <c r="AA984" s="55"/>
    </row>
    <row r="985">
      <c r="A985" s="54"/>
      <c r="B985" s="55"/>
      <c r="C985" s="55"/>
      <c r="D985" s="56"/>
      <c r="E985" s="55"/>
      <c r="F985" s="54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  <c r="AA985" s="55"/>
    </row>
    <row r="986">
      <c r="A986" s="54"/>
      <c r="B986" s="55"/>
      <c r="C986" s="55"/>
      <c r="D986" s="56"/>
      <c r="E986" s="55"/>
      <c r="F986" s="54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  <c r="AA986" s="55"/>
    </row>
    <row r="987">
      <c r="A987" s="54"/>
      <c r="B987" s="55"/>
      <c r="C987" s="55"/>
      <c r="D987" s="56"/>
      <c r="E987" s="55"/>
      <c r="F987" s="54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  <c r="AA987" s="55"/>
    </row>
    <row r="988">
      <c r="A988" s="54"/>
      <c r="B988" s="55"/>
      <c r="C988" s="55"/>
      <c r="D988" s="56"/>
      <c r="E988" s="55"/>
      <c r="F988" s="54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  <c r="AA988" s="55"/>
    </row>
    <row r="989">
      <c r="A989" s="54"/>
      <c r="B989" s="55"/>
      <c r="C989" s="55"/>
      <c r="D989" s="56"/>
      <c r="E989" s="55"/>
      <c r="F989" s="54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  <c r="AA989" s="55"/>
    </row>
    <row r="990">
      <c r="A990" s="54"/>
      <c r="B990" s="55"/>
      <c r="C990" s="55"/>
      <c r="D990" s="56"/>
      <c r="E990" s="55"/>
      <c r="F990" s="54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  <c r="AA990" s="55"/>
    </row>
    <row r="991">
      <c r="A991" s="54"/>
      <c r="B991" s="55"/>
      <c r="C991" s="55"/>
      <c r="D991" s="56"/>
      <c r="E991" s="55"/>
      <c r="F991" s="54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  <c r="AA991" s="55"/>
    </row>
    <row r="992">
      <c r="A992" s="54"/>
      <c r="B992" s="55"/>
      <c r="C992" s="55"/>
      <c r="D992" s="56"/>
      <c r="E992" s="55"/>
      <c r="F992" s="54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  <c r="AA992" s="55"/>
    </row>
    <row r="993">
      <c r="A993" s="54"/>
      <c r="B993" s="55"/>
      <c r="C993" s="55"/>
      <c r="D993" s="56"/>
      <c r="E993" s="55"/>
      <c r="F993" s="54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  <c r="AA993" s="55"/>
    </row>
    <row r="994">
      <c r="A994" s="54"/>
      <c r="B994" s="55"/>
      <c r="C994" s="55"/>
      <c r="D994" s="56"/>
      <c r="E994" s="55"/>
      <c r="F994" s="54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  <c r="AA994" s="55"/>
    </row>
    <row r="995">
      <c r="A995" s="54"/>
      <c r="B995" s="55"/>
      <c r="C995" s="55"/>
      <c r="D995" s="56"/>
      <c r="E995" s="55"/>
      <c r="F995" s="54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  <c r="AA995" s="55"/>
    </row>
    <row r="996">
      <c r="A996" s="54"/>
      <c r="B996" s="55"/>
      <c r="C996" s="55"/>
      <c r="D996" s="56"/>
      <c r="E996" s="55"/>
      <c r="F996" s="54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  <c r="AA996" s="55"/>
    </row>
    <row r="997">
      <c r="A997" s="54"/>
      <c r="B997" s="55"/>
      <c r="C997" s="55"/>
      <c r="D997" s="56"/>
      <c r="E997" s="55"/>
      <c r="F997" s="54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  <c r="AA997" s="55"/>
    </row>
    <row r="998">
      <c r="A998" s="54"/>
      <c r="B998" s="55"/>
      <c r="C998" s="55"/>
      <c r="D998" s="56"/>
      <c r="E998" s="55"/>
      <c r="F998" s="54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  <c r="AA998" s="55"/>
    </row>
    <row r="999">
      <c r="A999" s="54"/>
      <c r="B999" s="55"/>
      <c r="C999" s="55"/>
      <c r="D999" s="56"/>
      <c r="E999" s="55"/>
      <c r="F999" s="54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  <c r="AA999" s="55"/>
    </row>
    <row r="1000">
      <c r="A1000" s="54"/>
      <c r="B1000" s="55"/>
      <c r="C1000" s="55"/>
      <c r="D1000" s="56"/>
      <c r="E1000" s="55"/>
      <c r="F1000" s="54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  <c r="AA1000" s="55"/>
    </row>
  </sheetData>
  <conditionalFormatting sqref="D2:D1000">
    <cfRule type="notContainsBlanks" dxfId="12" priority="1">
      <formula>LEN(TRIM(D2))&gt;0</formula>
    </cfRule>
  </conditionalFormatting>
  <drawing r:id="rId1"/>
  <tableParts count="2">
    <tablePart r:id="rId4"/>
    <tablePart r:id="rId5"/>
  </tableParts>
</worksheet>
</file>